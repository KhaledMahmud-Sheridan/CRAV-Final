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ejs\nodeapiserver-v3\"/>
    </mc:Choice>
  </mc:AlternateContent>
  <xr:revisionPtr revIDLastSave="0" documentId="13_ncr:1_{906CDF7C-22AD-4D93-BF56-A078AF1DDE3A}" xr6:coauthVersionLast="47" xr6:coauthVersionMax="47" xr10:uidLastSave="{00000000-0000-0000-0000-000000000000}"/>
  <bookViews>
    <workbookView xWindow="585" yWindow="1605" windowWidth="19845" windowHeight="11295" activeTab="5" xr2:uid="{1B6081D8-C2AF-4846-9530-0FEB769D71FD}"/>
  </bookViews>
  <sheets>
    <sheet name="Services" sheetId="1" r:id="rId1"/>
    <sheet name="Parameters" sheetId="2" r:id="rId2"/>
    <sheet name="Messages" sheetId="4" r:id="rId3"/>
    <sheet name="Vehicles" sheetId="3" r:id="rId4"/>
    <sheet name="OBD2_Parameters" sheetId="5" r:id="rId5"/>
    <sheet name="obd2-pid-table-service-01" sheetId="6" r:id="rId6"/>
    <sheet name="obd2-pid-table-service-01-or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6" l="1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" i="6"/>
  <c r="D6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" i="6"/>
  <c r="D3" i="6"/>
  <c r="D4" i="6"/>
  <c r="D5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" i="6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7" i="5"/>
  <c r="E7" i="5"/>
  <c r="E8" i="5"/>
  <c r="E9" i="5"/>
  <c r="E10" i="5"/>
  <c r="E11" i="5"/>
  <c r="E12" i="5"/>
  <c r="E13" i="5"/>
  <c r="E14" i="5"/>
  <c r="E15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6" i="5"/>
</calcChain>
</file>

<file path=xl/sharedStrings.xml><?xml version="1.0" encoding="utf-8"?>
<sst xmlns="http://schemas.openxmlformats.org/spreadsheetml/2006/main" count="4243" uniqueCount="1081">
  <si>
    <t>serviceID</t>
  </si>
  <si>
    <t>serviceName</t>
  </si>
  <si>
    <t>description</t>
  </si>
  <si>
    <t>parameterID</t>
  </si>
  <si>
    <t>messageID</t>
  </si>
  <si>
    <t>messageName</t>
  </si>
  <si>
    <t>vin</t>
  </si>
  <si>
    <t>make</t>
  </si>
  <si>
    <t>model</t>
  </si>
  <si>
    <t>trim</t>
  </si>
  <si>
    <t>year</t>
  </si>
  <si>
    <t>featureSet</t>
  </si>
  <si>
    <t>parameterSet</t>
  </si>
  <si>
    <t>logActive</t>
  </si>
  <si>
    <t>NAME</t>
  </si>
  <si>
    <t>MIN</t>
  </si>
  <si>
    <t>MAX</t>
  </si>
  <si>
    <t>UNIT</t>
  </si>
  <si>
    <t>length</t>
  </si>
  <si>
    <t>None</t>
  </si>
  <si>
    <t>response</t>
  </si>
  <si>
    <t>service</t>
  </si>
  <si>
    <t>ParameterID_Service01</t>
  </si>
  <si>
    <t>ParameterID_Service02</t>
  </si>
  <si>
    <t>S1_PID_00_PIDsSupported_01_20</t>
  </si>
  <si>
    <t>S1_PID_01_MonitorStatus</t>
  </si>
  <si>
    <t>S1_PID_02_FreezeDTC</t>
  </si>
  <si>
    <t>S1_PID_03_FuelSystemStatus</t>
  </si>
  <si>
    <t>S1_PID_04_CalcEngineLoad</t>
  </si>
  <si>
    <t>%</t>
  </si>
  <si>
    <t>S1_PID_05_EngineCoolantTemp</t>
  </si>
  <si>
    <t>degC</t>
  </si>
  <si>
    <t>S1_PID_06_ShortFuelTrimBank1</t>
  </si>
  <si>
    <t>S1_PID_07_LongFuelTrimBank1</t>
  </si>
  <si>
    <t>S1_PID_08_ShortFuelTrimBank2</t>
  </si>
  <si>
    <t>S1_PID_09_LongFuelTrimBank2</t>
  </si>
  <si>
    <t>S1_PID_0A_FuelPressure</t>
  </si>
  <si>
    <t>kPa</t>
  </si>
  <si>
    <t>S1_PID_0B_IntakeManiAbsPress</t>
  </si>
  <si>
    <t>S1_PID_0C_EngineRPM</t>
  </si>
  <si>
    <t>rpm</t>
  </si>
  <si>
    <t>S1_PID_0D_VehicleSpeed</t>
  </si>
  <si>
    <t>km/h</t>
  </si>
  <si>
    <t>S1_PID_0E_TimingAdvance</t>
  </si>
  <si>
    <t>deg before TDC</t>
  </si>
  <si>
    <t>S1_PID_0F_IntakeAirTemperature</t>
  </si>
  <si>
    <t>S1_PID_10_MAFAirFlowRate</t>
  </si>
  <si>
    <t>grams/sec</t>
  </si>
  <si>
    <t>S1_PID_11_ThrottlePosition</t>
  </si>
  <si>
    <t>S1_PID_12_CmdSecAirStatus</t>
  </si>
  <si>
    <t>S1_PID_14_OxySensor1_Volt</t>
  </si>
  <si>
    <t>volts</t>
  </si>
  <si>
    <t>S1_PID_15_OxySensor2_Volt</t>
  </si>
  <si>
    <t>S1_PID_16_OxySensor3_Volt</t>
  </si>
  <si>
    <t>S1_PID_17_OxySensor4_Volt</t>
  </si>
  <si>
    <t>S1_PID_18_OxySensor5_Volt</t>
  </si>
  <si>
    <t>S1_PID_19_OxySensor6_Volt</t>
  </si>
  <si>
    <t>S1_PID_1A_OxySensor7_Volt</t>
  </si>
  <si>
    <t>S1_PID_1B_OxySensor8_Volt</t>
  </si>
  <si>
    <t>S1_PID_1C_OBDStandard</t>
  </si>
  <si>
    <t>S1_PID_1F_TimeSinceEngStart</t>
  </si>
  <si>
    <t>seconds</t>
  </si>
  <si>
    <t>S1_PID_20_PIDsSupported_21_40</t>
  </si>
  <si>
    <t>S1_PID_21_DistanceMILOn</t>
  </si>
  <si>
    <t>km</t>
  </si>
  <si>
    <t>S1_PID_22_FuelRailPres</t>
  </si>
  <si>
    <t>S1_PID_23_FuelRailGaug</t>
  </si>
  <si>
    <t>S1_PID_24_OxySensor1_FAER</t>
  </si>
  <si>
    <t>ratio</t>
  </si>
  <si>
    <t>S1_PID_25_OxySensor2_FAER</t>
  </si>
  <si>
    <t>S1_PID_26_OxySensor3_FAER</t>
  </si>
  <si>
    <t>S1_PID_27_OxySensor4_FAER</t>
  </si>
  <si>
    <t>S1_PID_28_OxySensor5_FAER</t>
  </si>
  <si>
    <t>S1_PID_29_OxySensor6_FAER</t>
  </si>
  <si>
    <t>S1_PID_2A_OxySensor7_FAER</t>
  </si>
  <si>
    <t>S1_PID_2B_OxySensor8_FAER</t>
  </si>
  <si>
    <t>S1_PID_2C_CmdEGR</t>
  </si>
  <si>
    <t>S1_PID_2D_EGRError</t>
  </si>
  <si>
    <t>S1_PID_2E_CmdEvapPurge</t>
  </si>
  <si>
    <t>S1_PID_2F_FuelTankLevel</t>
  </si>
  <si>
    <t>S1_PID_30_WarmUpsSinceCodeClear</t>
  </si>
  <si>
    <t>count</t>
  </si>
  <si>
    <t>S1_PID_31_DistanceSinceCodeClear</t>
  </si>
  <si>
    <t>S1_PID_32_EvapSysVaporPres</t>
  </si>
  <si>
    <t>Pa</t>
  </si>
  <si>
    <t>S1_PID_33_AbsBaroPres</t>
  </si>
  <si>
    <t>S1_PID_34_OxySensor1_FAER</t>
  </si>
  <si>
    <t>S1_PID_35_OxySensor2_FAER</t>
  </si>
  <si>
    <t>S1_PID_36_OxySensor3_FAER</t>
  </si>
  <si>
    <t>S1_PID_37_OxySensor4_FAER</t>
  </si>
  <si>
    <t>S1_PID_38_OxySensor5_FAER</t>
  </si>
  <si>
    <t>S1_PID_39_OxySensor6_FAER</t>
  </si>
  <si>
    <t>S1_PID_3A_OxySensor7_FAER</t>
  </si>
  <si>
    <t>S1_PID_3B_OxySensor8_FAER</t>
  </si>
  <si>
    <t>S1_PID_3C_CatTempBank1Sens1</t>
  </si>
  <si>
    <t>S1_PID_3D_CatTempBank2Sens1</t>
  </si>
  <si>
    <t>S1_PID_3E_CatTempBank1Sens2</t>
  </si>
  <si>
    <t>S1_PID_3F_CatTempBank2Sens2</t>
  </si>
  <si>
    <t>S1_PID_40_PIDsSupported_41_60</t>
  </si>
  <si>
    <t>S1_PID_41_MonStatusDriveCycle</t>
  </si>
  <si>
    <t>S1_PID_42_ControlModuleVolt</t>
  </si>
  <si>
    <t>V</t>
  </si>
  <si>
    <t>S1_PID_43_AbsLoadValue</t>
  </si>
  <si>
    <t>S1_PID_44_FuelAirCmdEquiv</t>
  </si>
  <si>
    <t>S1_PID_45_RelThrottlePos</t>
  </si>
  <si>
    <t>S1_PID_46_AmbientAirTemp</t>
  </si>
  <si>
    <t>S1_PID_47_AbsThrottlePosB</t>
  </si>
  <si>
    <t>S1_PID_48_AbsThrottlePosC</t>
  </si>
  <si>
    <t>S1_PID_49_AbsThrottlePosD</t>
  </si>
  <si>
    <t>S1_PID_4A_AbsThrottlePosE</t>
  </si>
  <si>
    <t>S1_PID_4B_AbsThrottlePosF</t>
  </si>
  <si>
    <t>S1_PID_4C_CmdThrottleAct</t>
  </si>
  <si>
    <t>S1_PID_4D_TimeRunMILOn</t>
  </si>
  <si>
    <t>minutes</t>
  </si>
  <si>
    <t>S1_PID_4E_TimeSinceCodeClear</t>
  </si>
  <si>
    <t>S1_PID_4F_Max_FAER</t>
  </si>
  <si>
    <t>S1_PID_50_Max_AirFlowMAF</t>
  </si>
  <si>
    <t>g/s</t>
  </si>
  <si>
    <t>S1_PID_51_FuelType</t>
  </si>
  <si>
    <t>S1_PID_52_EthanolFuelPct</t>
  </si>
  <si>
    <t>S1_PID_53_AbsEvapSysVapPres</t>
  </si>
  <si>
    <t>S1_PID_54_EvapSysVapPres</t>
  </si>
  <si>
    <t>S1_PID_55_ShortSecOxyTrimBank1</t>
  </si>
  <si>
    <t>S1_PID_56_LongSecOxyTrimBank1</t>
  </si>
  <si>
    <t>S1_PID_57_ShortSecOxyTrimBank2</t>
  </si>
  <si>
    <t>S1_PID_58_LongSecOxyTrimBank2</t>
  </si>
  <si>
    <t>S1_PID_59_FuelRailAbsPres</t>
  </si>
  <si>
    <t>S1_PID_5A_RelAccelPedalPos</t>
  </si>
  <si>
    <t>S1_PID_5B_HybrBatPackRemLife</t>
  </si>
  <si>
    <t>S1_PID_5C_EngineOilTemp</t>
  </si>
  <si>
    <t>S1_PID_5D_FuelInjectionTiming</t>
  </si>
  <si>
    <t>deg</t>
  </si>
  <si>
    <t>S1_PID_5E_EngineFuelRate</t>
  </si>
  <si>
    <t>L/h</t>
  </si>
  <si>
    <t>S1_PID_5F_EmissionReq</t>
  </si>
  <si>
    <t>S1_PID_60_PIDsSupported_61_80</t>
  </si>
  <si>
    <t>S1_PID_61_DemandEngTorqPct</t>
  </si>
  <si>
    <t>S1_PID_62_ActualEngTorqPct</t>
  </si>
  <si>
    <t>S1_PID_63_EngRefTorq</t>
  </si>
  <si>
    <t>Nm</t>
  </si>
  <si>
    <t>S1_PID_64_EngPctTorq_Idle</t>
  </si>
  <si>
    <t>S1_PID_65_AuxInputOutput</t>
  </si>
  <si>
    <t>S1_PID_66_MAFSensor</t>
  </si>
  <si>
    <t>S1_PID_67_EngineCoolantTemp</t>
  </si>
  <si>
    <t>S1_PID_68_IntakeAirTempSens</t>
  </si>
  <si>
    <t>S1_PID_69_CmdEGR_EGRError</t>
  </si>
  <si>
    <t>S1_PID_6A_CmdDieselIntAir</t>
  </si>
  <si>
    <t>S1_PID_6B_ExhaustGasTemp</t>
  </si>
  <si>
    <t>S1_PID_6C_CmdThrottleActRel</t>
  </si>
  <si>
    <t>S1_PID_6D_FuelPresContrSys</t>
  </si>
  <si>
    <t>S1_PID_6E_InjPresContrSys</t>
  </si>
  <si>
    <t>S1_PID_6F_TurboComprPres</t>
  </si>
  <si>
    <t>S1_PID_70_BoostPresCntrl</t>
  </si>
  <si>
    <t>S1_PID_80_PIDsSupported_81_A0</t>
  </si>
  <si>
    <t>S1_PID_8E_EngFrictionPctTorq</t>
  </si>
  <si>
    <t>S1_PID_A0_PIDsSupported_A1_C0</t>
  </si>
  <si>
    <t>S1_PID_C0_PIDsSupported_C1_E0</t>
  </si>
  <si>
    <t>S2_PID_02_FreezeDTC</t>
  </si>
  <si>
    <t>S1_PID_14_OxySensor1_STFT</t>
  </si>
  <si>
    <t>S1_PID_15_OxySensor2_STFT</t>
  </si>
  <si>
    <t>S1_PID_16_OxySensor3_STFT</t>
  </si>
  <si>
    <t>S1_PID_17_OxySensor4_STFT</t>
  </si>
  <si>
    <t>S1_PID_18_OxySensor5_STFT</t>
  </si>
  <si>
    <t>S1_PID_19_OxySensor6_STFT</t>
  </si>
  <si>
    <t>S1_PID_1A_OxySensor7_STFT</t>
  </si>
  <si>
    <t>S1_PID_1B_OxySensor8_STFT</t>
  </si>
  <si>
    <t>S1_PID_4F_Max_OxySensVol</t>
  </si>
  <si>
    <t>S1_PID_55_ShortSecOxyTrimBank3</t>
  </si>
  <si>
    <t>S1_PID_56_LongSecOxyTrimBank3</t>
  </si>
  <si>
    <t>S1_PID_57_ShortSecOxyTrimBank4</t>
  </si>
  <si>
    <t>S1_PID_58_LongSecOxyTrimBank4</t>
  </si>
  <si>
    <t>S1_PID_64_EngPctTorq_EP1</t>
  </si>
  <si>
    <t>S1_PID_24_OxySensor1_Volt</t>
  </si>
  <si>
    <t>S1_PID_25_OxySensor2_Volt</t>
  </si>
  <si>
    <t>S1_PID_26_OxySensor3_Volt</t>
  </si>
  <si>
    <t>S1_PID_27_OxySensor4_Volt</t>
  </si>
  <si>
    <t>S1_PID_28_OxySensor5_Volt</t>
  </si>
  <si>
    <t>S1_PID_29_OxySensor6_Volt</t>
  </si>
  <si>
    <t>S1_PID_2A_OxySensor7_Volt</t>
  </si>
  <si>
    <t>S1_PID_2B_OxySensor8_Volt</t>
  </si>
  <si>
    <t>S1_PID_34_OxySensor1_Crnt</t>
  </si>
  <si>
    <t>mA</t>
  </si>
  <si>
    <t>S1_PID_35_OxySensor2_Crnt</t>
  </si>
  <si>
    <t>S1_PID_36_OxySensor3_Crnt</t>
  </si>
  <si>
    <t>S1_PID_37_OxySensor4_Crnt</t>
  </si>
  <si>
    <t>S1_PID_38_OxySensor5_Crnt</t>
  </si>
  <si>
    <t>S1_PID_39_OxySensor6_Crnt</t>
  </si>
  <si>
    <t>S1_PID_3A_OxySensor7_Crnt</t>
  </si>
  <si>
    <t>S1_PID_3B_OxySensor8_Crnt</t>
  </si>
  <si>
    <t>S1_PID_4F_Max_OxySensCrnt</t>
  </si>
  <si>
    <t>S1_PID_64_EngPctTorq_EP2</t>
  </si>
  <si>
    <t>S1_PID_4F_Max_IntManiAbsPres</t>
  </si>
  <si>
    <t>S1_PID_64_EngPctTorq_EP3</t>
  </si>
  <si>
    <t>S1_PID_64_EngPctTorq_EP4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</si>
  <si>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</si>
  <si>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</si>
  <si>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</si>
  <si>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</si>
  <si>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</si>
  <si>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</si>
  <si>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</si>
  <si>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</si>
  <si>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</si>
  <si>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</si>
  <si>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0A</t>
  </si>
  <si>
    <t>Show current data</t>
  </si>
  <si>
    <t>Show freeze frame data</t>
  </si>
  <si>
    <t>Show stored Diagnostic Trouble Codes</t>
  </si>
  <si>
    <t>Clear Diagnostic Trouble Codes and stored values</t>
  </si>
  <si>
    <t>Test results, oxygen sensor monitoring (non CAN only)</t>
  </si>
  <si>
    <t>Test results, other component/system monitoring (Test results, oxygen sensor monitoring for CAN only)</t>
  </si>
  <si>
    <t>Show pending Diagnostic Trouble Codes (detected during current or last driving cycle)</t>
  </si>
  <si>
    <t>Control operation of on-board component/system</t>
  </si>
  <si>
    <t>Request vehicle information</t>
  </si>
  <si>
    <t>Permanent Diagnostic Trouble Codes (DTCs) (Cleared DTCs)</t>
  </si>
  <si>
    <t>Show stored DTCs</t>
  </si>
  <si>
    <t>Clear DTCs and stored values</t>
  </si>
  <si>
    <t>Test results, other component/system monitoring (CAN only)</t>
  </si>
  <si>
    <t>Test results, oxygen sensor monitoring (Non-CAN)</t>
  </si>
  <si>
    <t xml:space="preserve">Show pending DTCs </t>
  </si>
  <si>
    <t>Permanent DTCs</t>
  </si>
  <si>
    <t>Name</t>
  </si>
  <si>
    <t>PID (dec)</t>
  </si>
  <si>
    <t>PID (hex)</t>
  </si>
  <si>
    <t>Name (short)</t>
  </si>
  <si>
    <t>Bit start</t>
  </si>
  <si>
    <t>Bit length</t>
  </si>
  <si>
    <t>Scale</t>
  </si>
  <si>
    <t>Offset</t>
  </si>
  <si>
    <t>Min</t>
  </si>
  <si>
    <t>Max</t>
  </si>
  <si>
    <t>Unit</t>
  </si>
  <si>
    <t>Scale (short)</t>
  </si>
  <si>
    <t>Min | Max</t>
  </si>
  <si>
    <t>Bit start | length</t>
  </si>
  <si>
    <t>PIDsSupported_01_20</t>
  </si>
  <si>
    <t>PIDs supported [01 - 20]</t>
  </si>
  <si>
    <t>Encoded</t>
  </si>
  <si>
    <t>31 | 32</t>
  </si>
  <si>
    <t>MonitorStatus</t>
  </si>
  <si>
    <t>Monitor status since DTCs cleared</t>
  </si>
  <si>
    <t>FreezeDTC</t>
  </si>
  <si>
    <t>Freeze DTC</t>
  </si>
  <si>
    <t>31 | 16</t>
  </si>
  <si>
    <t>FuelSystemStatus</t>
  </si>
  <si>
    <t>Fuel system status</t>
  </si>
  <si>
    <t>CalcEngineLoad</t>
  </si>
  <si>
    <t>Calculated engine load</t>
  </si>
  <si>
    <t>1/2.55</t>
  </si>
  <si>
    <t>0 | 100</t>
  </si>
  <si>
    <t>31 | 8</t>
  </si>
  <si>
    <t>EngineCoolantTemp</t>
  </si>
  <si>
    <t>Engine coolant temperature</t>
  </si>
  <si>
    <t>-40 | 215</t>
  </si>
  <si>
    <t>ShortFuelTrimBank1</t>
  </si>
  <si>
    <t>Short term fuel trim (bank 1)</t>
  </si>
  <si>
    <t>1/1.28</t>
  </si>
  <si>
    <t>-100 | 99</t>
  </si>
  <si>
    <t>LongFuelTrimBank1</t>
  </si>
  <si>
    <t>Long term fuel trim (bank 1)</t>
  </si>
  <si>
    <t>ShortFuelTrimBank2</t>
  </si>
  <si>
    <t>Short term fuel trim (bank 2)</t>
  </si>
  <si>
    <t>LongFuelTrimBank2</t>
  </si>
  <si>
    <t>Long term fuel trim (bank 2)</t>
  </si>
  <si>
    <t>FuelPressure</t>
  </si>
  <si>
    <t>Fuel pressure (gauge pressure)</t>
  </si>
  <si>
    <t>0 | 765</t>
  </si>
  <si>
    <t>0B</t>
  </si>
  <si>
    <t>IntakeManiAbsPress</t>
  </si>
  <si>
    <t>Intake manifold absolute pressure</t>
  </si>
  <si>
    <t>0 | 255</t>
  </si>
  <si>
    <t>0C</t>
  </si>
  <si>
    <t>EngineRPM</t>
  </si>
  <si>
    <t>Engine speed</t>
  </si>
  <si>
    <t>0 | 16384</t>
  </si>
  <si>
    <t>0D</t>
  </si>
  <si>
    <t>VehicleSpeed</t>
  </si>
  <si>
    <t>Vehicle speed</t>
  </si>
  <si>
    <t>0E</t>
  </si>
  <si>
    <t>TimingAdvance</t>
  </si>
  <si>
    <t>Timing advance</t>
  </si>
  <si>
    <t>-64 | 64</t>
  </si>
  <si>
    <t>0F</t>
  </si>
  <si>
    <t>IntakeAirTemperature</t>
  </si>
  <si>
    <t>Intake air temperature</t>
  </si>
  <si>
    <t>MAFAirFlowRate</t>
  </si>
  <si>
    <t>Mass air flow sensor air flow rate</t>
  </si>
  <si>
    <t>0 | 655</t>
  </si>
  <si>
    <t>ThrottlePosition</t>
  </si>
  <si>
    <t>Throttle position</t>
  </si>
  <si>
    <t>CmdSecAirStatus</t>
  </si>
  <si>
    <t>Commanded secondary air status</t>
  </si>
  <si>
    <t>OxySensorsPresent_2Banks</t>
  </si>
  <si>
    <t>Oxygen sensors present (2 banks)</t>
  </si>
  <si>
    <t>OxySensor1_Volt</t>
  </si>
  <si>
    <t>Oxygen sensor 1 (voltage)</t>
  </si>
  <si>
    <t>0 | 1</t>
  </si>
  <si>
    <t>OxySensor1_STFT</t>
  </si>
  <si>
    <t>Oxygen sensor 1 (short term fuel trim)</t>
  </si>
  <si>
    <t>39 | 8</t>
  </si>
  <si>
    <t>OxySensor2_Volt</t>
  </si>
  <si>
    <t>Oxygen sensor 2 (voltage)</t>
  </si>
  <si>
    <t>OxySensor2_STFT</t>
  </si>
  <si>
    <t>Oxygen sensor 2 (short term fuel trim)</t>
  </si>
  <si>
    <t>OxySensor3_Volt</t>
  </si>
  <si>
    <t>Oxygen sensor 3 (voltage)</t>
  </si>
  <si>
    <t>OxySensor3_STFT</t>
  </si>
  <si>
    <t>Oxygen sensor 3 (short term fuel trim)</t>
  </si>
  <si>
    <t>OxySensor4_Volt</t>
  </si>
  <si>
    <t>Oxygen sensor 4 (voltage)</t>
  </si>
  <si>
    <t>OxySensor4_STFT</t>
  </si>
  <si>
    <t>Oxygen sensor 4 (short term fuel trim)</t>
  </si>
  <si>
    <t>OxySensor5_Volt</t>
  </si>
  <si>
    <t>Oxygen sensor 5 (voltage)</t>
  </si>
  <si>
    <t>OxySensor5_STFT</t>
  </si>
  <si>
    <t>Oxygen sensor 5 (short term fuel trim)</t>
  </si>
  <si>
    <t>OxySensor6_Volt</t>
  </si>
  <si>
    <t>Oxygen sensor 6 (voltage)</t>
  </si>
  <si>
    <t>OxySensor6_STFT</t>
  </si>
  <si>
    <t>Oxygen sensor 6 (short term fuel trim)</t>
  </si>
  <si>
    <t>1A</t>
  </si>
  <si>
    <t>OxySensor7_Volt</t>
  </si>
  <si>
    <t>Oxygen sensor 7 (voltage)</t>
  </si>
  <si>
    <t>OxySensor7_STFT</t>
  </si>
  <si>
    <t>Oxygen sensor 7 (short term fuel trim)</t>
  </si>
  <si>
    <t>1B</t>
  </si>
  <si>
    <t>OxySensor8_Volt</t>
  </si>
  <si>
    <t>Oxygen sensor 8 (voltage)</t>
  </si>
  <si>
    <t>OxySensor8_STFT</t>
  </si>
  <si>
    <t>Oxygen sensor 9 (short term fuel trim)</t>
  </si>
  <si>
    <t>1C</t>
  </si>
  <si>
    <t>OBDStandard</t>
  </si>
  <si>
    <t>OBD standards the vehicle conforms to</t>
  </si>
  <si>
    <t>1D</t>
  </si>
  <si>
    <t>OxySensorsPresent_4Banks</t>
  </si>
  <si>
    <t>Oxygen sensors present (4 banks)</t>
  </si>
  <si>
    <t>1E</t>
  </si>
  <si>
    <t>AuxiliaryInputStatus</t>
  </si>
  <si>
    <t>Auxiliary input status</t>
  </si>
  <si>
    <t>1F</t>
  </si>
  <si>
    <t>TimeSinceEngStart</t>
  </si>
  <si>
    <t>Run time since engine start</t>
  </si>
  <si>
    <t>0 | 65535</t>
  </si>
  <si>
    <t>PIDsSupported_21_40</t>
  </si>
  <si>
    <t>PIDs supported [21 - 40]</t>
  </si>
  <si>
    <t>DistanceMILOn</t>
  </si>
  <si>
    <t>Distance traveled with MIL on</t>
  </si>
  <si>
    <t>FuelRailPres</t>
  </si>
  <si>
    <t>Fuel rail pres. (rel. to manifold vacuum)</t>
  </si>
  <si>
    <t>0 | 5177</t>
  </si>
  <si>
    <t>FuelRailGaug</t>
  </si>
  <si>
    <t>Fuel rail gauge pres. (diesel, gas inject)</t>
  </si>
  <si>
    <t>0 | 655350</t>
  </si>
  <si>
    <t>OxySensor1_FAER</t>
  </si>
  <si>
    <t>Oxygen sensor 1 (air-fuel equiv. ratio)</t>
  </si>
  <si>
    <t>1/32768</t>
  </si>
  <si>
    <t>0 | 2</t>
  </si>
  <si>
    <t>1/8192</t>
  </si>
  <si>
    <t>47 | 16</t>
  </si>
  <si>
    <t>OxySensor2_FAER</t>
  </si>
  <si>
    <t>Oxygen sensor 2 (air-fuel equiv. ratio)</t>
  </si>
  <si>
    <t>0 | 8</t>
  </si>
  <si>
    <t>OxySensor3_FAER</t>
  </si>
  <si>
    <t>Oxygen sensor 3 (air-fuel equiv. ratio)</t>
  </si>
  <si>
    <t>OxySensor4_FAER</t>
  </si>
  <si>
    <t>Oxygen sensor 4 (air-fuel equiv. ratio)</t>
  </si>
  <si>
    <t>OxySensor5_FAER</t>
  </si>
  <si>
    <t>Oxygen sensor 5 (air-fuel equiv. ratio)</t>
  </si>
  <si>
    <t>OxySensor6_FAER</t>
  </si>
  <si>
    <t>Oxygen sensor 6 (air-fuel equiv. ratio)</t>
  </si>
  <si>
    <t>2A</t>
  </si>
  <si>
    <t>OxySensor7_FAER</t>
  </si>
  <si>
    <t>Oxygen sensor 7 (air-fuel equiv. ratio)</t>
  </si>
  <si>
    <t>2B</t>
  </si>
  <si>
    <t>OxySensor8_FAER</t>
  </si>
  <si>
    <t>Oxygen sensor 8 (air-fuel equiv. ratio)</t>
  </si>
  <si>
    <t>2C</t>
  </si>
  <si>
    <t>CmdEGR</t>
  </si>
  <si>
    <t>Commanded EGR</t>
  </si>
  <si>
    <t>2D</t>
  </si>
  <si>
    <t>EGRError</t>
  </si>
  <si>
    <t>EGR Error</t>
  </si>
  <si>
    <t>2E</t>
  </si>
  <si>
    <t>CmdEvapPurge</t>
  </si>
  <si>
    <t>Commanded evaporative purge</t>
  </si>
  <si>
    <t>2F</t>
  </si>
  <si>
    <t>FuelTankLevel</t>
  </si>
  <si>
    <t>Fuel tank level input</t>
  </si>
  <si>
    <t>WarmUpsSinceCodeClear</t>
  </si>
  <si>
    <t>Warmups since DTCs cleared</t>
  </si>
  <si>
    <t>DistanceSinceCodeClear</t>
  </si>
  <si>
    <t>Distance traveled since DTCs cleared</t>
  </si>
  <si>
    <t>EvapSysVaporPres</t>
  </si>
  <si>
    <t>Evap. system vapor pressure</t>
  </si>
  <si>
    <t>-8192 | 8192</t>
  </si>
  <si>
    <t>AbsBaroPres</t>
  </si>
  <si>
    <t>Absolute barometric pressure</t>
  </si>
  <si>
    <t>OxySensor1_Crnt</t>
  </si>
  <si>
    <t>Oxygen sensor 1 (current)</t>
  </si>
  <si>
    <t>1/256</t>
  </si>
  <si>
    <t>-128 | 128</t>
  </si>
  <si>
    <t>OxySensor2_Crnt</t>
  </si>
  <si>
    <t>Oxygen sensor 2 (current)</t>
  </si>
  <si>
    <t>OxySensor3_Crnt</t>
  </si>
  <si>
    <t>Oxygen sensor 3 (current)</t>
  </si>
  <si>
    <t>OxySensor4_Crnt</t>
  </si>
  <si>
    <t>Oxygen sensor 4 (current)</t>
  </si>
  <si>
    <t>OxySensor5_Crnt</t>
  </si>
  <si>
    <t>Oxygen sensor 5 (current)</t>
  </si>
  <si>
    <t>OxySensor6_Crnt</t>
  </si>
  <si>
    <t>Oxygen sensor 6 (current)</t>
  </si>
  <si>
    <t>3A</t>
  </si>
  <si>
    <t>OxySensor7_Crnt</t>
  </si>
  <si>
    <t>Oxygen sensor 7 (current)</t>
  </si>
  <si>
    <t>3B</t>
  </si>
  <si>
    <t>OxySensor8_Crnt</t>
  </si>
  <si>
    <t>Oxygen sensor 8 (current)</t>
  </si>
  <si>
    <t>3C</t>
  </si>
  <si>
    <t>CatTempBank1Sens1</t>
  </si>
  <si>
    <t>Catalyst temperature (bank 1, sensor 1)</t>
  </si>
  <si>
    <t>-40 | 6514</t>
  </si>
  <si>
    <t>3D</t>
  </si>
  <si>
    <t>CatTempBank2Sens1</t>
  </si>
  <si>
    <t>Catalyst temperature (bank 2, sensor 1)</t>
  </si>
  <si>
    <t>3E</t>
  </si>
  <si>
    <t>CatTempBank1Sens2</t>
  </si>
  <si>
    <t>Catalyst temperature (bank 1, sensor 2)</t>
  </si>
  <si>
    <t>3F</t>
  </si>
  <si>
    <t>CatTempBank2Sens2</t>
  </si>
  <si>
    <t>Catalyst temperature (bank 2, sensor 2)</t>
  </si>
  <si>
    <t>PIDsSupported_41_60</t>
  </si>
  <si>
    <t>PIDs supported [41 - 60]</t>
  </si>
  <si>
    <t>MonStatusDriveCycle</t>
  </si>
  <si>
    <t>Monitor status this drive cycle</t>
  </si>
  <si>
    <t>ControlModuleVolt</t>
  </si>
  <si>
    <t>Control module voltage</t>
  </si>
  <si>
    <t>0 | 66</t>
  </si>
  <si>
    <t>AbsLoadValue</t>
  </si>
  <si>
    <t>Absolute load value</t>
  </si>
  <si>
    <t>0 | 25700</t>
  </si>
  <si>
    <t>FuelAirCmdEquiv</t>
  </si>
  <si>
    <t xml:space="preserve">Commanded air-fuel equiv. ratio </t>
  </si>
  <si>
    <t>RelThrottlePos</t>
  </si>
  <si>
    <t>Relative throttle position</t>
  </si>
  <si>
    <t>AmbientAirTemp</t>
  </si>
  <si>
    <t>Ambient air temperature</t>
  </si>
  <si>
    <t>AbsThrottlePosB</t>
  </si>
  <si>
    <t>Absolute throttle position B</t>
  </si>
  <si>
    <t>AbsThrottlePosC</t>
  </si>
  <si>
    <t>Absolute throttle position C</t>
  </si>
  <si>
    <t>AbsThrottlePosD</t>
  </si>
  <si>
    <t>Accelerator pedal position D</t>
  </si>
  <si>
    <t>4A</t>
  </si>
  <si>
    <t>AbsThrottlePosE</t>
  </si>
  <si>
    <t>Accelerator pedal position E</t>
  </si>
  <si>
    <t>4B</t>
  </si>
  <si>
    <t>AbsThrottlePosF</t>
  </si>
  <si>
    <t>Accelerator pedal position F</t>
  </si>
  <si>
    <t>4C</t>
  </si>
  <si>
    <t>CmdThrottleAct</t>
  </si>
  <si>
    <t>Commanded throttle actuator</t>
  </si>
  <si>
    <t>4D</t>
  </si>
  <si>
    <t>TimeRunMILOn</t>
  </si>
  <si>
    <t>Time run with MIL on</t>
  </si>
  <si>
    <t>4E</t>
  </si>
  <si>
    <t>TimeSinceCodeClear</t>
  </si>
  <si>
    <t>Time since DTCs cleared</t>
  </si>
  <si>
    <t>4F</t>
  </si>
  <si>
    <t>Max_FAER</t>
  </si>
  <si>
    <t>Max fuel-air equiv. ratio</t>
  </si>
  <si>
    <t>Max_OxySensVol</t>
  </si>
  <si>
    <t>Max oxygen sensor voltage</t>
  </si>
  <si>
    <t>Max_OxySensCrnt</t>
  </si>
  <si>
    <t>Max oxygen sensor current</t>
  </si>
  <si>
    <t>47 | 8</t>
  </si>
  <si>
    <t>Max_IntManiAbsPres</t>
  </si>
  <si>
    <t>Max intake manifold absolute pressure</t>
  </si>
  <si>
    <t>0 | 2550</t>
  </si>
  <si>
    <t>55 | 8</t>
  </si>
  <si>
    <t>Max_AirFlowMAF</t>
  </si>
  <si>
    <t>Max air flow rate from MAF sensor</t>
  </si>
  <si>
    <t>FuelType</t>
  </si>
  <si>
    <t>Fuel type</t>
  </si>
  <si>
    <t>EthanolFuelPct</t>
  </si>
  <si>
    <t>Ethanol fuel percentage</t>
  </si>
  <si>
    <t>AbsEvapSysVapPres</t>
  </si>
  <si>
    <t>Absolute evap system vapor pressure</t>
  </si>
  <si>
    <t>0 | 328</t>
  </si>
  <si>
    <t>EvapSysVapPres</t>
  </si>
  <si>
    <t>Evap system vapor pressure</t>
  </si>
  <si>
    <t>-32767 | 32768</t>
  </si>
  <si>
    <t>ShortSecOxyTrimBank1</t>
  </si>
  <si>
    <t>Short term sec. oxygen trim (bank 1)</t>
  </si>
  <si>
    <t>ShortSecOxyTrimBank3</t>
  </si>
  <si>
    <t>Short term sec. oxygen trim (bank 3)</t>
  </si>
  <si>
    <t>LongSecOxyTrimBank1</t>
  </si>
  <si>
    <t>Long term sec. oxygen trim (bank 1)</t>
  </si>
  <si>
    <t>LongSecOxyTrimBank3</t>
  </si>
  <si>
    <t>Long term sec. oxygen trim (bank 3)</t>
  </si>
  <si>
    <t>ShortSecOxyTrimBank2</t>
  </si>
  <si>
    <t>Short term sec. oxygen trim (bank 2)</t>
  </si>
  <si>
    <t>ShortSecOxyTrimBank4</t>
  </si>
  <si>
    <t>Short term sec. oxygen trim (bank 4)</t>
  </si>
  <si>
    <t>LongSecOxyTrimBank2</t>
  </si>
  <si>
    <t>Long term sec. oxygen trim (bank 2)</t>
  </si>
  <si>
    <t>LongSecOxyTrimBank4</t>
  </si>
  <si>
    <t>Long term sec. oxygen trim (bank 4)</t>
  </si>
  <si>
    <t>FuelRailAbsPres</t>
  </si>
  <si>
    <t>Fuel rail absolute pressure</t>
  </si>
  <si>
    <t>5A</t>
  </si>
  <si>
    <t>RelAccelPedalPos</t>
  </si>
  <si>
    <t>Relative accelerator pedal position</t>
  </si>
  <si>
    <t>5B</t>
  </si>
  <si>
    <t>HybrBatPackRemLife</t>
  </si>
  <si>
    <t>Hybrid battery pack remaining life</t>
  </si>
  <si>
    <t>5C</t>
  </si>
  <si>
    <t>EngineOilTemp</t>
  </si>
  <si>
    <t>Engine oil temperature</t>
  </si>
  <si>
    <t>5D</t>
  </si>
  <si>
    <t>FuelInjectionTiming</t>
  </si>
  <si>
    <t>Fuel injection timing</t>
  </si>
  <si>
    <t>1/128</t>
  </si>
  <si>
    <t>-210 | 302</t>
  </si>
  <si>
    <t>5E</t>
  </si>
  <si>
    <t>EngineFuelRate</t>
  </si>
  <si>
    <t>Engine fuel rate</t>
  </si>
  <si>
    <t>0 | 3277</t>
  </si>
  <si>
    <t>5F</t>
  </si>
  <si>
    <t>EmissionReq</t>
  </si>
  <si>
    <t>Emission requirements</t>
  </si>
  <si>
    <t>PIDsSupported_61_80</t>
  </si>
  <si>
    <t>PIDs supported [61 - 80]</t>
  </si>
  <si>
    <t>DemandEngTorqPct</t>
  </si>
  <si>
    <t>Demanded engine percent torque</t>
  </si>
  <si>
    <t>-125 | 130</t>
  </si>
  <si>
    <t>ActualEngTorqPct</t>
  </si>
  <si>
    <t>Actual engine percent torque</t>
  </si>
  <si>
    <t>EngRefTorq</t>
  </si>
  <si>
    <t>Engine reference torque</t>
  </si>
  <si>
    <t>EngPctTorq_Idle</t>
  </si>
  <si>
    <t>Engine pct. torque (idle)</t>
  </si>
  <si>
    <t>EngPctTorq_EP1</t>
  </si>
  <si>
    <t>Engine pct. torque (engine point 1)</t>
  </si>
  <si>
    <t>EngPctTorq_EP2</t>
  </si>
  <si>
    <t>Engine pct. torque (engine point 2)</t>
  </si>
  <si>
    <t>EngPctTorq_EP3</t>
  </si>
  <si>
    <t>Engine pct. torque (engine point 3)</t>
  </si>
  <si>
    <t>EngPctTorq_EP4</t>
  </si>
  <si>
    <t>Engine pct. torque (engine point 4)</t>
  </si>
  <si>
    <t>63 | 8</t>
  </si>
  <si>
    <t>AuxInputOutput</t>
  </si>
  <si>
    <t>Auxiliary input/output supported</t>
  </si>
  <si>
    <t>MAFSensorA</t>
  </si>
  <si>
    <t>Mass air flow sensor (A)</t>
  </si>
  <si>
    <t>1/32</t>
  </si>
  <si>
    <t>0 | 2048</t>
  </si>
  <si>
    <t>39 | 16</t>
  </si>
  <si>
    <t>MAFSensorB</t>
  </si>
  <si>
    <t>Mass air flow sensor (B)</t>
  </si>
  <si>
    <t>55 | 16</t>
  </si>
  <si>
    <t>EngineCoolantTemp1</t>
  </si>
  <si>
    <t>Engine coolant temperature (sensor 1)</t>
  </si>
  <si>
    <t>EngineCoolantTemp2</t>
  </si>
  <si>
    <t>Engine coolant temperature (sensor 2)</t>
  </si>
  <si>
    <t>IntakeAirTempSens1</t>
  </si>
  <si>
    <t>Intake air temperature (sensor 1)</t>
  </si>
  <si>
    <t>IntakeAirTempSens2</t>
  </si>
  <si>
    <t>Intake air temperature (sensor 2)</t>
  </si>
  <si>
    <t>CmdEGR_EGRError</t>
  </si>
  <si>
    <t>Commanded EGR and EGR error</t>
  </si>
  <si>
    <t>6A</t>
  </si>
  <si>
    <t>CmdDieselIntAir</t>
  </si>
  <si>
    <t>Com. diesel intake air flow ctr/position</t>
  </si>
  <si>
    <t>6B</t>
  </si>
  <si>
    <t>ExhaustGasTemp</t>
  </si>
  <si>
    <t>Exhaust gas recirculation temperature</t>
  </si>
  <si>
    <t>6C</t>
  </si>
  <si>
    <t>CmdThrottleActRel</t>
  </si>
  <si>
    <t>Com. throttle actuator ctr./position</t>
  </si>
  <si>
    <t>6D</t>
  </si>
  <si>
    <t>FuelPresContrSys</t>
  </si>
  <si>
    <t>Fuel pressure control system</t>
  </si>
  <si>
    <t>6E</t>
  </si>
  <si>
    <t>InjPresContrSys</t>
  </si>
  <si>
    <t>Injection pressure control system</t>
  </si>
  <si>
    <t>6F</t>
  </si>
  <si>
    <t>TurboComprPres</t>
  </si>
  <si>
    <t>Turbocharger compressor inlet pres.</t>
  </si>
  <si>
    <t>BoostPresCntrl</t>
  </si>
  <si>
    <t>Boost pressure control</t>
  </si>
  <si>
    <t>VariableGeoTurboVGTCtr</t>
  </si>
  <si>
    <t>Variable geometry turbo control</t>
  </si>
  <si>
    <t>WastegateControl</t>
  </si>
  <si>
    <t>Wastegate control</t>
  </si>
  <si>
    <t>ExhaustPressure</t>
  </si>
  <si>
    <t>Exhaust pressure</t>
  </si>
  <si>
    <t>TurbochargerRpm</t>
  </si>
  <si>
    <t>Turbocharger RPM</t>
  </si>
  <si>
    <t>TurbochargerTemperature</t>
  </si>
  <si>
    <t>Turbocharger temperature</t>
  </si>
  <si>
    <t>ChargeAirCoolerTemperature</t>
  </si>
  <si>
    <t>Charge air cooler temperature</t>
  </si>
  <si>
    <t>EGT_Bank1</t>
  </si>
  <si>
    <t>EGT (bank 1)</t>
  </si>
  <si>
    <t>EGT_Bank2</t>
  </si>
  <si>
    <t>EGT (bank 2)</t>
  </si>
  <si>
    <t>7A</t>
  </si>
  <si>
    <t>DPF_DifferentialPressure</t>
  </si>
  <si>
    <t>Diesel particulate filter - diff. pressure</t>
  </si>
  <si>
    <t>7B</t>
  </si>
  <si>
    <t>DPF</t>
  </si>
  <si>
    <t>Diesel particulate filter</t>
  </si>
  <si>
    <t>7C</t>
  </si>
  <si>
    <t>DPF_Temperature</t>
  </si>
  <si>
    <t>Diesel particulate filter - temperature</t>
  </si>
  <si>
    <t>7D</t>
  </si>
  <si>
    <t>NOx_NTE_ControlAreaStatus</t>
  </si>
  <si>
    <t>NOx NTE control area status</t>
  </si>
  <si>
    <t>7E</t>
  </si>
  <si>
    <t>PM_NTE_ControlAreaStatus</t>
  </si>
  <si>
    <t>PM NTE control area status</t>
  </si>
  <si>
    <t>7F</t>
  </si>
  <si>
    <t>EngineRunTime</t>
  </si>
  <si>
    <t>Engine run time</t>
  </si>
  <si>
    <t>PIDsSupported_81_A0</t>
  </si>
  <si>
    <t>PIDs supported [81 - A0]</t>
  </si>
  <si>
    <t>EngineRunTime_AECD</t>
  </si>
  <si>
    <t>Engine run time for AECD</t>
  </si>
  <si>
    <t>NOxSensor</t>
  </si>
  <si>
    <t>NOx sensor</t>
  </si>
  <si>
    <t>ManifoldSurfaceTemperature</t>
  </si>
  <si>
    <t>Manifold surface temperature</t>
  </si>
  <si>
    <t>NOxReagentSystem</t>
  </si>
  <si>
    <t>NOx reagent system</t>
  </si>
  <si>
    <t>PM_Sensor</t>
  </si>
  <si>
    <t>Particulate matter sensor</t>
  </si>
  <si>
    <t>IntakeManifoldAbsolutePressure</t>
  </si>
  <si>
    <t>SCR_InduceSystem</t>
  </si>
  <si>
    <t>SCR induce system</t>
  </si>
  <si>
    <t>RunTimeForAECD_11_15</t>
  </si>
  <si>
    <t>Run time for AECD #11-#15</t>
  </si>
  <si>
    <t>8A</t>
  </si>
  <si>
    <t>RunTimeForAECD_16_20</t>
  </si>
  <si>
    <t>Run time for AECD #16-#20</t>
  </si>
  <si>
    <t>8B</t>
  </si>
  <si>
    <t>DieselAftertreatment</t>
  </si>
  <si>
    <t>Diesel aftertreatment</t>
  </si>
  <si>
    <t>8C</t>
  </si>
  <si>
    <t>O2Sensor_WideRange</t>
  </si>
  <si>
    <t>O2 sensor (wide range)</t>
  </si>
  <si>
    <t>8D</t>
  </si>
  <si>
    <t>ThrottlePositionG</t>
  </si>
  <si>
    <t>Throttle position G</t>
  </si>
  <si>
    <t>8E</t>
  </si>
  <si>
    <t>EngineFrictionPercentTorque</t>
  </si>
  <si>
    <t>Engine friction percent torque</t>
  </si>
  <si>
    <t>8F</t>
  </si>
  <si>
    <t>PMSensorBank1_2</t>
  </si>
  <si>
    <t>Particulate matter sensor (bank 1 &amp; 2)</t>
  </si>
  <si>
    <t>WWH_OBD_SysInfo</t>
  </si>
  <si>
    <t>WWH-OBD vehicle OBD system Info</t>
  </si>
  <si>
    <t>hours</t>
  </si>
  <si>
    <t>FuelSystemControl</t>
  </si>
  <si>
    <t>Fuel system control</t>
  </si>
  <si>
    <t>WWH_OBD_CtrSupport</t>
  </si>
  <si>
    <t>WWH-OBD counters support</t>
  </si>
  <si>
    <t>NOxWarningInducementSys</t>
  </si>
  <si>
    <t>NOx warning and inducement system</t>
  </si>
  <si>
    <t>EGT_Sensor</t>
  </si>
  <si>
    <t>EGT sensor</t>
  </si>
  <si>
    <t>9A</t>
  </si>
  <si>
    <t>Hybrid_EV_System</t>
  </si>
  <si>
    <t>Hybrid/EV sys. data, battery, voltage</t>
  </si>
  <si>
    <t>9B</t>
  </si>
  <si>
    <t>DieselExhaustFluidSensorData</t>
  </si>
  <si>
    <t>Diesel exhaust fluid sensor data</t>
  </si>
  <si>
    <t>9C</t>
  </si>
  <si>
    <t>O2SensorData</t>
  </si>
  <si>
    <t>O2 sensor data</t>
  </si>
  <si>
    <t>9D</t>
  </si>
  <si>
    <t>9E</t>
  </si>
  <si>
    <t>EngineExhaustFlowRate</t>
  </si>
  <si>
    <t>Engine exhaust flow rate</t>
  </si>
  <si>
    <t>kg/h</t>
  </si>
  <si>
    <t>9F</t>
  </si>
  <si>
    <t>FuelSystemPercentageUse</t>
  </si>
  <si>
    <t>Fuel system percentage use</t>
  </si>
  <si>
    <t>A0</t>
  </si>
  <si>
    <t>PIDsSupported_A1_C0</t>
  </si>
  <si>
    <t>PIDs supported [A1 - C0]</t>
  </si>
  <si>
    <t>A1</t>
  </si>
  <si>
    <t>NOxSensorCorrectedData</t>
  </si>
  <si>
    <t>NOx sensor corrected data</t>
  </si>
  <si>
    <t>ppm</t>
  </si>
  <si>
    <t>A2</t>
  </si>
  <si>
    <t>CylinderFuelRate</t>
  </si>
  <si>
    <t>Cylinder fuel rate</t>
  </si>
  <si>
    <t>mg/stroke</t>
  </si>
  <si>
    <t>A3</t>
  </si>
  <si>
    <t>EvapSystemVaporPressure</t>
  </si>
  <si>
    <t>A4</t>
  </si>
  <si>
    <t>TransmissionActualGear</t>
  </si>
  <si>
    <t>Transmission actual gear</t>
  </si>
  <si>
    <t>A5</t>
  </si>
  <si>
    <t>ComDieselExhaustFluidDosing</t>
  </si>
  <si>
    <t>Cmd. diesel exhaust fluid dosing</t>
  </si>
  <si>
    <t>0 | 128</t>
  </si>
  <si>
    <t>A6</t>
  </si>
  <si>
    <t>Odometer</t>
  </si>
  <si>
    <t>0 | 429496730</t>
  </si>
  <si>
    <t>A7</t>
  </si>
  <si>
    <t>NOxSensorConc3_4</t>
  </si>
  <si>
    <t>NOx concentration 3, 4</t>
  </si>
  <si>
    <t>A8</t>
  </si>
  <si>
    <t>NOxSensorCorrectConc3_4</t>
  </si>
  <si>
    <t>NOx corrected concentration (3, 4)</t>
  </si>
  <si>
    <t>C0</t>
  </si>
  <si>
    <t>PIDsSupported_C1_E0</t>
  </si>
  <si>
    <t>PIDs supported [C1 - E0]</t>
  </si>
  <si>
    <t>Description</t>
  </si>
  <si>
    <t>S1</t>
  </si>
  <si>
    <t>00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</si>
  <si>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</si>
  <si>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</si>
  <si>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</si>
  <si>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</si>
  <si>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</si>
  <si>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</si>
  <si>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</si>
  <si>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</si>
  <si>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</si>
  <si>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</si>
  <si>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</si>
  <si>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</si>
  <si>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</si>
  <si>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</si>
  <si>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</si>
  <si>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</si>
  <si>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</si>
  <si>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</si>
  <si>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</si>
  <si>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</si>
  <si>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</si>
  <si>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</si>
  <si>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</si>
  <si>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</si>
  <si>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</si>
  <si>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</si>
  <si>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</si>
  <si>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</si>
  <si>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</si>
  <si>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</si>
  <si>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</si>
  <si>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</si>
  <si>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</si>
  <si>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</si>
  <si>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</si>
  <si>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</si>
  <si>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</si>
  <si>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</si>
  <si>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</si>
  <si>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</si>
  <si>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</si>
  <si>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</si>
  <si>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</si>
  <si>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</si>
  <si>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</si>
  <si>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</si>
  <si>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</si>
  <si>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</si>
  <si>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</si>
  <si>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</si>
  <si>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</si>
  <si>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</si>
  <si>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</si>
  <si>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</si>
  <si>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</si>
  <si>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</si>
  <si>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</si>
  <si>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</si>
  <si>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</si>
  <si>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</si>
  <si>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</si>
  <si>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</si>
  <si>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</si>
  <si>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</si>
  <si>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</si>
  <si>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</si>
  <si>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</si>
  <si>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</si>
  <si>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</si>
  <si>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</si>
  <si>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</si>
  <si>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</si>
  <si>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</si>
  <si>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</si>
  <si>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</si>
  <si>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</si>
  <si>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</si>
  <si>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</si>
  <si>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</si>
  <si>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</si>
  <si>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</si>
  <si>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</si>
  <si>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</si>
  <si>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</si>
  <si>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98</t>
  </si>
  <si>
    <t>99</t>
  </si>
  <si>
    <t>ABCDEDG9876543210</t>
  </si>
  <si>
    <t>ABCDEDG9876543211</t>
  </si>
  <si>
    <t>ABCDEDG9876543212</t>
  </si>
  <si>
    <t>ABCDEDG9876543213</t>
  </si>
  <si>
    <t>ABCDEDG9876543214</t>
  </si>
  <si>
    <t>ABCDEDG9876543215</t>
  </si>
  <si>
    <t>ABCDEDG9876543216</t>
  </si>
  <si>
    <t>ABCDEDG9876543217</t>
  </si>
  <si>
    <t>ABCDEDG9876543218</t>
  </si>
  <si>
    <t>ABCDEDG9876543219</t>
  </si>
  <si>
    <t>C</t>
  </si>
  <si>
    <t>B</t>
  </si>
  <si>
    <t>A</t>
  </si>
  <si>
    <t>Toyota</t>
  </si>
  <si>
    <t>Nissan</t>
  </si>
  <si>
    <t>Ford</t>
  </si>
  <si>
    <t>BMW</t>
  </si>
  <si>
    <t>Camry</t>
  </si>
  <si>
    <t>Murano</t>
  </si>
  <si>
    <t>Escape</t>
  </si>
  <si>
    <t>X3</t>
  </si>
  <si>
    <t>X5</t>
  </si>
  <si>
    <t>GMC</t>
  </si>
  <si>
    <t>Buick</t>
  </si>
  <si>
    <t>Enclave</t>
  </si>
  <si>
    <t>Yukon</t>
  </si>
  <si>
    <t>Rogue</t>
  </si>
  <si>
    <t>Focus</t>
  </si>
  <si>
    <t>RAV4</t>
  </si>
  <si>
    <t>['05', '10']</t>
  </si>
  <si>
    <t>['06', '11']</t>
  </si>
  <si>
    <t>['07', '12']</t>
  </si>
  <si>
    <t>Hybrid</t>
  </si>
  <si>
    <t>black</t>
  </si>
  <si>
    <t>shortName</t>
  </si>
  <si>
    <t>name</t>
  </si>
  <si>
    <t>S1_PID_13_OxySensorsPresent_2Banks</t>
  </si>
  <si>
    <t>S1_PID_1B_OxySensor7_STFT</t>
  </si>
  <si>
    <t>S1_PID_1C_OxySensor8_STFT</t>
  </si>
  <si>
    <t>S1_PID_1D_OxySensorsPresent_4Banks</t>
  </si>
  <si>
    <t>S1_PID_1E_AuxiliaryInputStatus</t>
  </si>
  <si>
    <t>S1_PID_2B_OxySensor7_Volt</t>
  </si>
  <si>
    <t>S1_PID_2C_OxySensor8_Volt</t>
  </si>
  <si>
    <t>S1_PID_3B_OxySensor7_Crnt</t>
  </si>
  <si>
    <t>S1_PID_3C_OxySensor8_Crnt</t>
  </si>
  <si>
    <t>S1_PID_50_Max_OxySensVol</t>
  </si>
  <si>
    <t>S1_PID_51_Max_OxySensCrnt</t>
  </si>
  <si>
    <t>S1_PID_52_Max_IntManiAbsPres</t>
  </si>
  <si>
    <t>S1_PID_66_MAFSensorA</t>
  </si>
  <si>
    <t>S1_PID_66_MAFSensorB</t>
  </si>
  <si>
    <t>S1_PID_67_EngineCoolantTemp1</t>
  </si>
  <si>
    <t>S1_PID_67_EngineCoolantTemp2</t>
  </si>
  <si>
    <t>S1_PID_68_IntakeAirTempSens1</t>
  </si>
  <si>
    <t>S1_PID_68_IntakeAirTempSens2</t>
  </si>
  <si>
    <t>S1_PID_71_VariableGeoTurboVGTCtr</t>
  </si>
  <si>
    <t>S1_PID_72_WastegateControl</t>
  </si>
  <si>
    <t>S1_PID_73_ExhaustPressure</t>
  </si>
  <si>
    <t>S1_PID_74_TurbochargerRpm</t>
  </si>
  <si>
    <t>S1_PID_75_TurbochargerTemperature</t>
  </si>
  <si>
    <t>S1_PID_76_TurbochargerTemperature</t>
  </si>
  <si>
    <t>S1_PID_77_ChargeAirCoolerTemperature</t>
  </si>
  <si>
    <t>S1_PID_78_EGT_Bank1</t>
  </si>
  <si>
    <t>S1_PID_79_EGT_Bank2</t>
  </si>
  <si>
    <t>S1_PID_7A_DPF_DifferentialPressure</t>
  </si>
  <si>
    <t>S1_PID_7B_DPF</t>
  </si>
  <si>
    <t>S1_PID_7C_DPF_Temperature</t>
  </si>
  <si>
    <t>S1_PID_7D_NOx_NTE_ControlAreaStatus</t>
  </si>
  <si>
    <t>S1_PID_7E_PM_NTE_ControlAreaStatus</t>
  </si>
  <si>
    <t>S1_PID_7F_EngineRunTime</t>
  </si>
  <si>
    <t>S1_PID_81_EngineRunTime_AECD</t>
  </si>
  <si>
    <t>S1_PID_82_EngineRunTime_AECD</t>
  </si>
  <si>
    <t>S1_PID_83_NOxSensor</t>
  </si>
  <si>
    <t>S1_PID_84_ManifoldSurfaceTemperature</t>
  </si>
  <si>
    <t>S1_PID_85_NOxReagentSystem</t>
  </si>
  <si>
    <t>S1_PID_86_PM_Sensor</t>
  </si>
  <si>
    <t>S1_PID_87_IntakeManifoldAbsolutePressure</t>
  </si>
  <si>
    <t>S1_PID_88_SCR_InduceSystem</t>
  </si>
  <si>
    <t>S1_PID_89_RunTimeForAECD_11_15</t>
  </si>
  <si>
    <t>S1_PID_8A_RunTimeForAECD_16_20</t>
  </si>
  <si>
    <t>S1_PID_8B_DieselAftertreatment</t>
  </si>
  <si>
    <t>S1_PID_8C_O2Sensor_WideRange</t>
  </si>
  <si>
    <t>S1_PID_8D_ThrottlePositionG</t>
  </si>
  <si>
    <t>S1_PID_8E_EngineFrictionPercentTorque</t>
  </si>
  <si>
    <t>S1_PID_8F_PMSensorBank1_2</t>
  </si>
  <si>
    <t>S1_PID_90_WWH_OBD_SysInfo</t>
  </si>
  <si>
    <t>S1_PID_91_WWH_OBD_SysInfo</t>
  </si>
  <si>
    <t>S1_PID_92_FuelSystemControl</t>
  </si>
  <si>
    <t>S1_PID_93_WWH_OBD_CtrSupport</t>
  </si>
  <si>
    <t>S1_PID_94_NOxWarningInducementSys</t>
  </si>
  <si>
    <t>S1_PID_98_EGT_Sensor</t>
  </si>
  <si>
    <t>S1_PID_99_EGT_Sensor</t>
  </si>
  <si>
    <t>S1_PID_9A_Hybrid_EV_System</t>
  </si>
  <si>
    <t>S1_PID_9B_DieselExhaustFluidSensorData</t>
  </si>
  <si>
    <t>S1_PID_9C_O2SensorData</t>
  </si>
  <si>
    <t>S1_PID_9D_EngineFuelRate</t>
  </si>
  <si>
    <t>S1_PID_9E_EngineExhaustFlowRate</t>
  </si>
  <si>
    <t>S1_PID_9F_FuelSystemPercentageUse</t>
  </si>
  <si>
    <t>S1_PID_A1_NOxSensorCorrectedData</t>
  </si>
  <si>
    <t>S1_PID_A2_CylinderFuelRate</t>
  </si>
  <si>
    <t>S1_PID_A3_EvapSystemVaporPressure</t>
  </si>
  <si>
    <t>S1_PID_A4_TransmissionActualGear</t>
  </si>
  <si>
    <t>S1_PID_A5_ComDieselExhaustFluidDosing</t>
  </si>
  <si>
    <t>S1_PID_A6_Odometer</t>
  </si>
  <si>
    <t>S1_PID_A7_NOxSensorConc3_4</t>
  </si>
  <si>
    <t>S1_PID_A8_NOxSensorCorrectConc3_4</t>
  </si>
  <si>
    <t>requestCode</t>
  </si>
  <si>
    <t>0201005555555555</t>
  </si>
  <si>
    <t>0201015555555555</t>
  </si>
  <si>
    <t>0201025555555555</t>
  </si>
  <si>
    <t>0201035555555555</t>
  </si>
  <si>
    <t>0201045555555555</t>
  </si>
  <si>
    <t>0201055555555555</t>
  </si>
  <si>
    <t>0201065555555555</t>
  </si>
  <si>
    <t>0201075555555555</t>
  </si>
  <si>
    <t>0201085555555555</t>
  </si>
  <si>
    <t>0201095555555555</t>
  </si>
  <si>
    <t>02010A5555555555</t>
  </si>
  <si>
    <t>02010B5555555555</t>
  </si>
  <si>
    <t>02010C5555555555</t>
  </si>
  <si>
    <t>02010D5555555555</t>
  </si>
  <si>
    <t>02010E5555555555</t>
  </si>
  <si>
    <t>02010F5555555555</t>
  </si>
  <si>
    <t>0201105555555555</t>
  </si>
  <si>
    <t>0201115555555555</t>
  </si>
  <si>
    <t>0201125555555555</t>
  </si>
  <si>
    <t>0201135555555555</t>
  </si>
  <si>
    <t>0201145555555555</t>
  </si>
  <si>
    <t>0201155555555555</t>
  </si>
  <si>
    <t>0201165555555555</t>
  </si>
  <si>
    <t>0201175555555555</t>
  </si>
  <si>
    <t>0201185555555555</t>
  </si>
  <si>
    <t>0201195555555555</t>
  </si>
  <si>
    <t>02011A5555555555</t>
  </si>
  <si>
    <t>02011B5555555555</t>
  </si>
  <si>
    <t>02011C5555555555</t>
  </si>
  <si>
    <t>02011D5555555555</t>
  </si>
  <si>
    <t>02011E5555555555</t>
  </si>
  <si>
    <t>02011F5555555555</t>
  </si>
  <si>
    <t>0201205555555555</t>
  </si>
  <si>
    <t>0201215555555555</t>
  </si>
  <si>
    <t>0201225555555555</t>
  </si>
  <si>
    <t>0201235555555555</t>
  </si>
  <si>
    <t>0201245555555555</t>
  </si>
  <si>
    <t>0201255555555555</t>
  </si>
  <si>
    <t>0201265555555555</t>
  </si>
  <si>
    <t>0201275555555555</t>
  </si>
  <si>
    <t>0201285555555555</t>
  </si>
  <si>
    <t>0201295555555555</t>
  </si>
  <si>
    <t>02012A5555555555</t>
  </si>
  <si>
    <t>02012B5555555555</t>
  </si>
  <si>
    <t>02012C5555555555</t>
  </si>
  <si>
    <t>02012D5555555555</t>
  </si>
  <si>
    <t>02012E5555555555</t>
  </si>
  <si>
    <t>02012F5555555555</t>
  </si>
  <si>
    <t>0201305555555555</t>
  </si>
  <si>
    <t>0201315555555555</t>
  </si>
  <si>
    <t>0201325555555555</t>
  </si>
  <si>
    <t>0201335555555555</t>
  </si>
  <si>
    <t>0201345555555555</t>
  </si>
  <si>
    <t>0201355555555555</t>
  </si>
  <si>
    <t>0201365555555555</t>
  </si>
  <si>
    <t>0201375555555555</t>
  </si>
  <si>
    <t>0201385555555555</t>
  </si>
  <si>
    <t>0201395555555555</t>
  </si>
  <si>
    <t>02013A5555555555</t>
  </si>
  <si>
    <t>02013B5555555555</t>
  </si>
  <si>
    <t>02013C5555555555</t>
  </si>
  <si>
    <t>02013D5555555555</t>
  </si>
  <si>
    <t>02013E5555555555</t>
  </si>
  <si>
    <t>02013F5555555555</t>
  </si>
  <si>
    <t>0201405555555555</t>
  </si>
  <si>
    <t>0201415555555555</t>
  </si>
  <si>
    <t>0201425555555555</t>
  </si>
  <si>
    <t>0201435555555555</t>
  </si>
  <si>
    <t>0201445555555555</t>
  </si>
  <si>
    <t>0201455555555555</t>
  </si>
  <si>
    <t>0201465555555555</t>
  </si>
  <si>
    <t>0201475555555555</t>
  </si>
  <si>
    <t>0201485555555555</t>
  </si>
  <si>
    <t>0201495555555555</t>
  </si>
  <si>
    <t>02014A5555555555</t>
  </si>
  <si>
    <t>02014B5555555555</t>
  </si>
  <si>
    <t>02014C5555555555</t>
  </si>
  <si>
    <t>02014D5555555555</t>
  </si>
  <si>
    <t>02014E5555555555</t>
  </si>
  <si>
    <t>02014F5555555555</t>
  </si>
  <si>
    <t>0201505555555555</t>
  </si>
  <si>
    <t>0201515555555555</t>
  </si>
  <si>
    <t>0201525555555555</t>
  </si>
  <si>
    <t>0201535555555555</t>
  </si>
  <si>
    <t>0201545555555555</t>
  </si>
  <si>
    <t>0201555555555555</t>
  </si>
  <si>
    <t>0201565555555555</t>
  </si>
  <si>
    <t>0201575555555555</t>
  </si>
  <si>
    <t>0201585555555555</t>
  </si>
  <si>
    <t>0201595555555555</t>
  </si>
  <si>
    <t>02015A5555555555</t>
  </si>
  <si>
    <t>02015B5555555555</t>
  </si>
  <si>
    <t>02015C5555555555</t>
  </si>
  <si>
    <t>02015D5555555555</t>
  </si>
  <si>
    <t>02015E5555555555</t>
  </si>
  <si>
    <t>02015F5555555555</t>
  </si>
  <si>
    <t>0201605555555555</t>
  </si>
  <si>
    <t>0201615555555555</t>
  </si>
  <si>
    <t>0201625555555555</t>
  </si>
  <si>
    <t>0201635555555555</t>
  </si>
  <si>
    <t>0201645555555555</t>
  </si>
  <si>
    <t>0201655555555555</t>
  </si>
  <si>
    <t>0201665555555555</t>
  </si>
  <si>
    <t>0201675555555555</t>
  </si>
  <si>
    <t>0201685555555555</t>
  </si>
  <si>
    <t>0201695555555555</t>
  </si>
  <si>
    <t>02016A5555555555</t>
  </si>
  <si>
    <t>02016B5555555555</t>
  </si>
  <si>
    <t>02016C5555555555</t>
  </si>
  <si>
    <t>02016D5555555555</t>
  </si>
  <si>
    <t>02016E5555555555</t>
  </si>
  <si>
    <t>02016F5555555555</t>
  </si>
  <si>
    <t>0201705555555555</t>
  </si>
  <si>
    <t>0201715555555555</t>
  </si>
  <si>
    <t>0201725555555555</t>
  </si>
  <si>
    <t>0201735555555555</t>
  </si>
  <si>
    <t>0201745555555555</t>
  </si>
  <si>
    <t>0201755555555555</t>
  </si>
  <si>
    <t>0201765555555555</t>
  </si>
  <si>
    <t>0201775555555555</t>
  </si>
  <si>
    <t>0201785555555555</t>
  </si>
  <si>
    <t>0201795555555555</t>
  </si>
  <si>
    <t>02017A5555555555</t>
  </si>
  <si>
    <t>02017B5555555555</t>
  </si>
  <si>
    <t>02017C5555555555</t>
  </si>
  <si>
    <t>02017D5555555555</t>
  </si>
  <si>
    <t>02017E5555555555</t>
  </si>
  <si>
    <t>02017F5555555555</t>
  </si>
  <si>
    <t>0201805555555555</t>
  </si>
  <si>
    <t>0201815555555555</t>
  </si>
  <si>
    <t>0201825555555555</t>
  </si>
  <si>
    <t>0201835555555555</t>
  </si>
  <si>
    <t>0201845555555555</t>
  </si>
  <si>
    <t>0201855555555555</t>
  </si>
  <si>
    <t>0201865555555555</t>
  </si>
  <si>
    <t>0201875555555555</t>
  </si>
  <si>
    <t>0201885555555555</t>
  </si>
  <si>
    <t>0201895555555555</t>
  </si>
  <si>
    <t>02018A5555555555</t>
  </si>
  <si>
    <t>02018B5555555555</t>
  </si>
  <si>
    <t>02018C5555555555</t>
  </si>
  <si>
    <t>02018D5555555555</t>
  </si>
  <si>
    <t>02018E5555555555</t>
  </si>
  <si>
    <t>02018F5555555555</t>
  </si>
  <si>
    <t>0201905555555555</t>
  </si>
  <si>
    <t>0201915555555555</t>
  </si>
  <si>
    <t>0201925555555555</t>
  </si>
  <si>
    <t>0201935555555555</t>
  </si>
  <si>
    <t>0201945555555555</t>
  </si>
  <si>
    <t>0201985555555555</t>
  </si>
  <si>
    <t>0201995555555555</t>
  </si>
  <si>
    <t>02019A5555555555</t>
  </si>
  <si>
    <t>02019B5555555555</t>
  </si>
  <si>
    <t>02019C5555555555</t>
  </si>
  <si>
    <t>02019D5555555555</t>
  </si>
  <si>
    <t>02019E5555555555</t>
  </si>
  <si>
    <t>02019F5555555555</t>
  </si>
  <si>
    <t>0201A05555555555</t>
  </si>
  <si>
    <t>0201A15555555555</t>
  </si>
  <si>
    <t>0201A25555555555</t>
  </si>
  <si>
    <t>0201A35555555555</t>
  </si>
  <si>
    <t>0201A45555555555</t>
  </si>
  <si>
    <t>0201A55555555555</t>
  </si>
  <si>
    <t>0201A65555555555</t>
  </si>
  <si>
    <t>0201A75555555555</t>
  </si>
  <si>
    <t>0201A85555555555</t>
  </si>
  <si>
    <t>0201C05555555555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</si>
</sst>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D06D-DD5C-4326-8293-CD9DDF2A8499}">
  <dimension ref="A1:C11"/>
  <sheetViews>
    <sheetView workbookViewId="0">
      <selection activeCell="B3" sqref="B3"/>
    </sheetView>
  </sheetViews>
  <sheetFormatPr defaultRowHeight="15" x14ac:dyDescent="0.25"/>
  <cols>
    <col min="2" max="2" width="29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194</v>
      </c>
      <c r="B2" t="s">
        <v>205</v>
      </c>
      <c r="C2" t="s">
        <v>205</v>
      </c>
    </row>
    <row r="3" spans="1:3" x14ac:dyDescent="0.25">
      <c r="A3" s="2" t="s">
        <v>195</v>
      </c>
      <c r="B3" t="s">
        <v>206</v>
      </c>
      <c r="C3" t="s">
        <v>206</v>
      </c>
    </row>
    <row r="4" spans="1:3" x14ac:dyDescent="0.25">
      <c r="A4" s="2" t="s">
        <v>196</v>
      </c>
      <c r="B4" t="s">
        <v>215</v>
      </c>
      <c r="C4" t="s">
        <v>207</v>
      </c>
    </row>
    <row r="5" spans="1:3" x14ac:dyDescent="0.25">
      <c r="A5" s="2" t="s">
        <v>197</v>
      </c>
      <c r="B5" t="s">
        <v>216</v>
      </c>
      <c r="C5" t="s">
        <v>208</v>
      </c>
    </row>
    <row r="6" spans="1:3" x14ac:dyDescent="0.25">
      <c r="A6" s="2" t="s">
        <v>198</v>
      </c>
      <c r="B6" t="s">
        <v>218</v>
      </c>
      <c r="C6" t="s">
        <v>209</v>
      </c>
    </row>
    <row r="7" spans="1:3" x14ac:dyDescent="0.25">
      <c r="A7" s="2" t="s">
        <v>199</v>
      </c>
      <c r="B7" t="s">
        <v>217</v>
      </c>
      <c r="C7" t="s">
        <v>210</v>
      </c>
    </row>
    <row r="8" spans="1:3" x14ac:dyDescent="0.25">
      <c r="A8" s="2" t="s">
        <v>200</v>
      </c>
      <c r="B8" t="s">
        <v>219</v>
      </c>
      <c r="C8" t="s">
        <v>211</v>
      </c>
    </row>
    <row r="9" spans="1:3" x14ac:dyDescent="0.25">
      <c r="A9" s="2" t="s">
        <v>201</v>
      </c>
      <c r="B9" t="s">
        <v>212</v>
      </c>
      <c r="C9" t="s">
        <v>212</v>
      </c>
    </row>
    <row r="10" spans="1:3" x14ac:dyDescent="0.25">
      <c r="A10" s="2" t="s">
        <v>202</v>
      </c>
      <c r="B10" t="s">
        <v>213</v>
      </c>
      <c r="C10" t="s">
        <v>213</v>
      </c>
    </row>
    <row r="11" spans="1:3" x14ac:dyDescent="0.25">
      <c r="A11" s="2" t="s">
        <v>204</v>
      </c>
      <c r="B11" t="s">
        <v>220</v>
      </c>
      <c r="C11" t="s">
        <v>214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8F85-66D8-4930-8B45-55C660A272B7}">
  <dimension ref="A2:G207"/>
  <sheetViews>
    <sheetView workbookViewId="0">
      <selection activeCell="G9" sqref="G9"/>
    </sheetView>
  </sheetViews>
  <sheetFormatPr defaultRowHeight="15" x14ac:dyDescent="0.25"/>
  <cols>
    <col min="2" max="2" width="12.140625" bestFit="1" customWidth="1"/>
    <col min="3" max="3" width="31" bestFit="1" customWidth="1"/>
    <col min="4" max="4" width="36.7109375" bestFit="1" customWidth="1"/>
    <col min="6" max="6" width="11.28515625" customWidth="1"/>
  </cols>
  <sheetData>
    <row r="2" spans="1:7" x14ac:dyDescent="0.25">
      <c r="A2" t="s">
        <v>0</v>
      </c>
      <c r="B2" t="s">
        <v>3</v>
      </c>
      <c r="C2" t="s">
        <v>221</v>
      </c>
      <c r="D2" t="s">
        <v>719</v>
      </c>
      <c r="E2" t="s">
        <v>229</v>
      </c>
      <c r="F2" t="s">
        <v>230</v>
      </c>
      <c r="G2" t="s">
        <v>231</v>
      </c>
    </row>
    <row r="3" spans="1:7" x14ac:dyDescent="0.25">
      <c r="A3" t="s">
        <v>720</v>
      </c>
      <c r="B3" t="s">
        <v>721</v>
      </c>
      <c r="C3" t="s">
        <v>235</v>
      </c>
      <c r="D3" t="s">
        <v>236</v>
      </c>
      <c r="G3" t="s">
        <v>237</v>
      </c>
    </row>
    <row r="4" spans="1:7" x14ac:dyDescent="0.25">
      <c r="A4" t="s">
        <v>720</v>
      </c>
      <c r="B4" t="s">
        <v>194</v>
      </c>
      <c r="C4" t="s">
        <v>239</v>
      </c>
      <c r="D4" t="s">
        <v>240</v>
      </c>
      <c r="G4" t="s">
        <v>237</v>
      </c>
    </row>
    <row r="5" spans="1:7" x14ac:dyDescent="0.25">
      <c r="A5" t="s">
        <v>720</v>
      </c>
      <c r="B5" t="s">
        <v>195</v>
      </c>
      <c r="C5" t="s">
        <v>241</v>
      </c>
      <c r="D5" t="s">
        <v>242</v>
      </c>
      <c r="G5" t="s">
        <v>237</v>
      </c>
    </row>
    <row r="6" spans="1:7" x14ac:dyDescent="0.25">
      <c r="A6" t="s">
        <v>720</v>
      </c>
      <c r="B6" t="s">
        <v>196</v>
      </c>
      <c r="C6" t="s">
        <v>244</v>
      </c>
      <c r="D6" t="s">
        <v>245</v>
      </c>
      <c r="G6" t="s">
        <v>237</v>
      </c>
    </row>
    <row r="7" spans="1:7" x14ac:dyDescent="0.25">
      <c r="A7" t="s">
        <v>720</v>
      </c>
      <c r="B7" t="s">
        <v>197</v>
      </c>
      <c r="C7" t="s">
        <v>246</v>
      </c>
      <c r="D7" t="s">
        <v>247</v>
      </c>
      <c r="E7">
        <v>0</v>
      </c>
      <c r="F7">
        <v>100</v>
      </c>
      <c r="G7" t="s">
        <v>29</v>
      </c>
    </row>
    <row r="8" spans="1:7" x14ac:dyDescent="0.25">
      <c r="A8" t="s">
        <v>720</v>
      </c>
      <c r="B8" t="s">
        <v>198</v>
      </c>
      <c r="C8" t="s">
        <v>251</v>
      </c>
      <c r="D8" t="s">
        <v>252</v>
      </c>
      <c r="E8">
        <v>-40</v>
      </c>
      <c r="F8">
        <v>215</v>
      </c>
      <c r="G8" t="s">
        <v>31</v>
      </c>
    </row>
    <row r="9" spans="1:7" x14ac:dyDescent="0.25">
      <c r="A9" t="s">
        <v>720</v>
      </c>
      <c r="B9" t="s">
        <v>199</v>
      </c>
      <c r="C9" t="s">
        <v>254</v>
      </c>
      <c r="D9" t="s">
        <v>255</v>
      </c>
      <c r="E9">
        <v>-100</v>
      </c>
      <c r="F9">
        <v>99</v>
      </c>
      <c r="G9" t="s">
        <v>29</v>
      </c>
    </row>
    <row r="10" spans="1:7" x14ac:dyDescent="0.25">
      <c r="A10" t="s">
        <v>720</v>
      </c>
      <c r="B10" t="s">
        <v>200</v>
      </c>
      <c r="C10" t="s">
        <v>258</v>
      </c>
      <c r="D10" t="s">
        <v>259</v>
      </c>
      <c r="E10">
        <v>-100</v>
      </c>
      <c r="F10">
        <v>99</v>
      </c>
      <c r="G10" t="s">
        <v>29</v>
      </c>
    </row>
    <row r="11" spans="1:7" x14ac:dyDescent="0.25">
      <c r="A11" t="s">
        <v>720</v>
      </c>
      <c r="B11" t="s">
        <v>201</v>
      </c>
      <c r="C11" t="s">
        <v>260</v>
      </c>
      <c r="D11" t="s">
        <v>261</v>
      </c>
      <c r="E11">
        <v>-100</v>
      </c>
      <c r="F11">
        <v>99</v>
      </c>
      <c r="G11" t="s">
        <v>29</v>
      </c>
    </row>
    <row r="12" spans="1:7" x14ac:dyDescent="0.25">
      <c r="A12" t="s">
        <v>720</v>
      </c>
      <c r="B12" t="s">
        <v>202</v>
      </c>
      <c r="C12" t="s">
        <v>262</v>
      </c>
      <c r="D12" t="s">
        <v>263</v>
      </c>
      <c r="E12">
        <v>-100</v>
      </c>
      <c r="F12">
        <v>99</v>
      </c>
      <c r="G12" t="s">
        <v>29</v>
      </c>
    </row>
    <row r="13" spans="1:7" x14ac:dyDescent="0.25">
      <c r="A13" t="s">
        <v>720</v>
      </c>
      <c r="B13" t="s">
        <v>204</v>
      </c>
      <c r="C13" t="s">
        <v>264</v>
      </c>
      <c r="D13" t="s">
        <v>265</v>
      </c>
      <c r="E13">
        <v>0</v>
      </c>
      <c r="F13">
        <v>765</v>
      </c>
      <c r="G13" t="s">
        <v>37</v>
      </c>
    </row>
    <row r="14" spans="1:7" x14ac:dyDescent="0.25">
      <c r="A14" t="s">
        <v>720</v>
      </c>
      <c r="B14" t="s">
        <v>267</v>
      </c>
      <c r="C14" t="s">
        <v>268</v>
      </c>
      <c r="D14" t="s">
        <v>269</v>
      </c>
      <c r="E14">
        <v>0</v>
      </c>
      <c r="F14">
        <v>255</v>
      </c>
      <c r="G14" t="s">
        <v>37</v>
      </c>
    </row>
    <row r="15" spans="1:7" x14ac:dyDescent="0.25">
      <c r="A15" t="s">
        <v>720</v>
      </c>
      <c r="B15" t="s">
        <v>271</v>
      </c>
      <c r="C15" t="s">
        <v>272</v>
      </c>
      <c r="D15" t="s">
        <v>273</v>
      </c>
      <c r="E15">
        <v>0</v>
      </c>
      <c r="F15">
        <v>16384</v>
      </c>
      <c r="G15" t="s">
        <v>40</v>
      </c>
    </row>
    <row r="16" spans="1:7" x14ac:dyDescent="0.25">
      <c r="A16" t="s">
        <v>720</v>
      </c>
      <c r="B16" t="s">
        <v>275</v>
      </c>
      <c r="C16" t="s">
        <v>276</v>
      </c>
      <c r="D16" t="s">
        <v>277</v>
      </c>
      <c r="E16">
        <v>0</v>
      </c>
      <c r="F16">
        <v>255</v>
      </c>
      <c r="G16" t="s">
        <v>42</v>
      </c>
    </row>
    <row r="17" spans="1:7" x14ac:dyDescent="0.25">
      <c r="A17" t="s">
        <v>720</v>
      </c>
      <c r="B17" t="s">
        <v>278</v>
      </c>
      <c r="C17" t="s">
        <v>279</v>
      </c>
      <c r="D17" t="s">
        <v>280</v>
      </c>
      <c r="E17">
        <v>-64</v>
      </c>
      <c r="F17">
        <v>64</v>
      </c>
      <c r="G17" t="s">
        <v>131</v>
      </c>
    </row>
    <row r="18" spans="1:7" x14ac:dyDescent="0.25">
      <c r="A18" t="s">
        <v>720</v>
      </c>
      <c r="B18" t="s">
        <v>282</v>
      </c>
      <c r="C18" t="s">
        <v>283</v>
      </c>
      <c r="D18" t="s">
        <v>284</v>
      </c>
      <c r="E18">
        <v>-40</v>
      </c>
      <c r="F18">
        <v>215</v>
      </c>
      <c r="G18" t="s">
        <v>31</v>
      </c>
    </row>
    <row r="19" spans="1:7" x14ac:dyDescent="0.25">
      <c r="A19" t="s">
        <v>720</v>
      </c>
      <c r="B19" t="s">
        <v>203</v>
      </c>
      <c r="C19" t="s">
        <v>285</v>
      </c>
      <c r="D19" t="s">
        <v>286</v>
      </c>
      <c r="E19">
        <v>0</v>
      </c>
      <c r="F19">
        <v>655</v>
      </c>
      <c r="G19" t="s">
        <v>47</v>
      </c>
    </row>
    <row r="20" spans="1:7" x14ac:dyDescent="0.25">
      <c r="A20" t="s">
        <v>720</v>
      </c>
      <c r="B20" t="s">
        <v>722</v>
      </c>
      <c r="C20" t="s">
        <v>288</v>
      </c>
      <c r="D20" t="s">
        <v>289</v>
      </c>
      <c r="E20">
        <v>0</v>
      </c>
      <c r="F20">
        <v>100</v>
      </c>
      <c r="G20" t="s">
        <v>29</v>
      </c>
    </row>
    <row r="21" spans="1:7" x14ac:dyDescent="0.25">
      <c r="A21" t="s">
        <v>720</v>
      </c>
      <c r="B21" t="s">
        <v>723</v>
      </c>
      <c r="C21" t="s">
        <v>290</v>
      </c>
      <c r="D21" t="s">
        <v>291</v>
      </c>
      <c r="G21" t="s">
        <v>237</v>
      </c>
    </row>
    <row r="22" spans="1:7" x14ac:dyDescent="0.25">
      <c r="A22" t="s">
        <v>720</v>
      </c>
      <c r="B22" t="s">
        <v>724</v>
      </c>
      <c r="C22" t="s">
        <v>292</v>
      </c>
      <c r="D22" t="s">
        <v>293</v>
      </c>
    </row>
    <row r="23" spans="1:7" x14ac:dyDescent="0.25">
      <c r="A23" t="s">
        <v>720</v>
      </c>
      <c r="B23" t="s">
        <v>725</v>
      </c>
      <c r="C23" t="s">
        <v>294</v>
      </c>
      <c r="D23" t="s">
        <v>295</v>
      </c>
      <c r="E23">
        <v>0</v>
      </c>
      <c r="F23">
        <v>1</v>
      </c>
      <c r="G23" t="s">
        <v>51</v>
      </c>
    </row>
    <row r="24" spans="1:7" x14ac:dyDescent="0.25">
      <c r="A24" t="s">
        <v>720</v>
      </c>
      <c r="B24" t="s">
        <v>725</v>
      </c>
      <c r="C24" t="s">
        <v>297</v>
      </c>
      <c r="D24" t="s">
        <v>298</v>
      </c>
      <c r="E24">
        <v>-100</v>
      </c>
      <c r="F24">
        <v>99</v>
      </c>
      <c r="G24" t="s">
        <v>29</v>
      </c>
    </row>
    <row r="25" spans="1:7" x14ac:dyDescent="0.25">
      <c r="A25" t="s">
        <v>720</v>
      </c>
      <c r="B25" t="s">
        <v>726</v>
      </c>
      <c r="C25" t="s">
        <v>300</v>
      </c>
      <c r="D25" t="s">
        <v>301</v>
      </c>
      <c r="E25">
        <v>0</v>
      </c>
      <c r="F25">
        <v>1</v>
      </c>
      <c r="G25" t="s">
        <v>51</v>
      </c>
    </row>
    <row r="26" spans="1:7" x14ac:dyDescent="0.25">
      <c r="A26" t="s">
        <v>720</v>
      </c>
      <c r="B26" t="s">
        <v>726</v>
      </c>
      <c r="C26" t="s">
        <v>302</v>
      </c>
      <c r="D26" t="s">
        <v>303</v>
      </c>
      <c r="E26">
        <v>-100</v>
      </c>
      <c r="F26">
        <v>99</v>
      </c>
      <c r="G26" t="s">
        <v>29</v>
      </c>
    </row>
    <row r="27" spans="1:7" x14ac:dyDescent="0.25">
      <c r="A27" t="s">
        <v>720</v>
      </c>
      <c r="B27" t="s">
        <v>727</v>
      </c>
      <c r="C27" t="s">
        <v>304</v>
      </c>
      <c r="D27" t="s">
        <v>305</v>
      </c>
      <c r="E27">
        <v>0</v>
      </c>
      <c r="F27">
        <v>1</v>
      </c>
      <c r="G27" t="s">
        <v>51</v>
      </c>
    </row>
    <row r="28" spans="1:7" x14ac:dyDescent="0.25">
      <c r="A28" t="s">
        <v>720</v>
      </c>
      <c r="B28" t="s">
        <v>727</v>
      </c>
      <c r="C28" t="s">
        <v>306</v>
      </c>
      <c r="D28" t="s">
        <v>307</v>
      </c>
      <c r="E28">
        <v>-100</v>
      </c>
      <c r="F28">
        <v>99</v>
      </c>
      <c r="G28" t="s">
        <v>29</v>
      </c>
    </row>
    <row r="29" spans="1:7" x14ac:dyDescent="0.25">
      <c r="A29" t="s">
        <v>720</v>
      </c>
      <c r="B29" t="s">
        <v>728</v>
      </c>
      <c r="C29" t="s">
        <v>308</v>
      </c>
      <c r="D29" t="s">
        <v>309</v>
      </c>
      <c r="E29">
        <v>0</v>
      </c>
      <c r="F29">
        <v>1</v>
      </c>
      <c r="G29" t="s">
        <v>51</v>
      </c>
    </row>
    <row r="30" spans="1:7" x14ac:dyDescent="0.25">
      <c r="A30" t="s">
        <v>720</v>
      </c>
      <c r="B30" t="s">
        <v>728</v>
      </c>
      <c r="C30" t="s">
        <v>310</v>
      </c>
      <c r="D30" t="s">
        <v>311</v>
      </c>
      <c r="E30">
        <v>-100</v>
      </c>
      <c r="F30">
        <v>99</v>
      </c>
      <c r="G30" t="s">
        <v>29</v>
      </c>
    </row>
    <row r="31" spans="1:7" x14ac:dyDescent="0.25">
      <c r="A31" t="s">
        <v>720</v>
      </c>
      <c r="B31" t="s">
        <v>729</v>
      </c>
      <c r="C31" t="s">
        <v>312</v>
      </c>
      <c r="D31" t="s">
        <v>313</v>
      </c>
      <c r="E31">
        <v>0</v>
      </c>
      <c r="F31">
        <v>1</v>
      </c>
      <c r="G31" t="s">
        <v>51</v>
      </c>
    </row>
    <row r="32" spans="1:7" x14ac:dyDescent="0.25">
      <c r="A32" t="s">
        <v>720</v>
      </c>
      <c r="B32" t="s">
        <v>729</v>
      </c>
      <c r="C32" t="s">
        <v>314</v>
      </c>
      <c r="D32" t="s">
        <v>315</v>
      </c>
      <c r="E32">
        <v>-100</v>
      </c>
      <c r="F32">
        <v>99</v>
      </c>
      <c r="G32" t="s">
        <v>29</v>
      </c>
    </row>
    <row r="33" spans="1:7" x14ac:dyDescent="0.25">
      <c r="A33" t="s">
        <v>720</v>
      </c>
      <c r="B33" t="s">
        <v>730</v>
      </c>
      <c r="C33" t="s">
        <v>316</v>
      </c>
      <c r="D33" t="s">
        <v>317</v>
      </c>
      <c r="E33">
        <v>0</v>
      </c>
      <c r="F33">
        <v>1</v>
      </c>
      <c r="G33" t="s">
        <v>51</v>
      </c>
    </row>
    <row r="34" spans="1:7" x14ac:dyDescent="0.25">
      <c r="A34" t="s">
        <v>720</v>
      </c>
      <c r="B34" t="s">
        <v>730</v>
      </c>
      <c r="C34" t="s">
        <v>318</v>
      </c>
      <c r="D34" t="s">
        <v>319</v>
      </c>
      <c r="E34">
        <v>-100</v>
      </c>
      <c r="F34">
        <v>99</v>
      </c>
      <c r="G34" t="s">
        <v>29</v>
      </c>
    </row>
    <row r="35" spans="1:7" x14ac:dyDescent="0.25">
      <c r="A35" t="s">
        <v>720</v>
      </c>
      <c r="B35" t="s">
        <v>320</v>
      </c>
      <c r="C35" t="s">
        <v>321</v>
      </c>
      <c r="D35" t="s">
        <v>322</v>
      </c>
      <c r="E35">
        <v>0</v>
      </c>
      <c r="F35">
        <v>1</v>
      </c>
      <c r="G35" t="s">
        <v>51</v>
      </c>
    </row>
    <row r="36" spans="1:7" x14ac:dyDescent="0.25">
      <c r="A36" t="s">
        <v>720</v>
      </c>
      <c r="B36" t="s">
        <v>325</v>
      </c>
      <c r="C36" t="s">
        <v>323</v>
      </c>
      <c r="D36" t="s">
        <v>324</v>
      </c>
      <c r="E36">
        <v>-100</v>
      </c>
      <c r="F36">
        <v>99</v>
      </c>
      <c r="G36" t="s">
        <v>29</v>
      </c>
    </row>
    <row r="37" spans="1:7" x14ac:dyDescent="0.25">
      <c r="A37" t="s">
        <v>720</v>
      </c>
      <c r="B37" t="s">
        <v>325</v>
      </c>
      <c r="C37" t="s">
        <v>326</v>
      </c>
      <c r="D37" t="s">
        <v>327</v>
      </c>
      <c r="E37">
        <v>0</v>
      </c>
      <c r="F37">
        <v>1</v>
      </c>
      <c r="G37" t="s">
        <v>51</v>
      </c>
    </row>
    <row r="38" spans="1:7" x14ac:dyDescent="0.25">
      <c r="A38" t="s">
        <v>720</v>
      </c>
      <c r="B38" t="s">
        <v>330</v>
      </c>
      <c r="C38" t="s">
        <v>328</v>
      </c>
      <c r="D38" t="s">
        <v>329</v>
      </c>
      <c r="E38">
        <v>-100</v>
      </c>
      <c r="F38">
        <v>99</v>
      </c>
      <c r="G38" t="s">
        <v>29</v>
      </c>
    </row>
    <row r="39" spans="1:7" x14ac:dyDescent="0.25">
      <c r="A39" t="s">
        <v>720</v>
      </c>
      <c r="B39" t="s">
        <v>330</v>
      </c>
      <c r="C39" t="s">
        <v>331</v>
      </c>
      <c r="D39" t="s">
        <v>332</v>
      </c>
      <c r="G39" t="s">
        <v>237</v>
      </c>
    </row>
    <row r="40" spans="1:7" x14ac:dyDescent="0.25">
      <c r="A40" t="s">
        <v>720</v>
      </c>
      <c r="B40" t="s">
        <v>333</v>
      </c>
      <c r="C40" t="s">
        <v>334</v>
      </c>
      <c r="D40" t="s">
        <v>335</v>
      </c>
    </row>
    <row r="41" spans="1:7" x14ac:dyDescent="0.25">
      <c r="A41" t="s">
        <v>720</v>
      </c>
      <c r="B41" t="s">
        <v>336</v>
      </c>
      <c r="C41" t="s">
        <v>337</v>
      </c>
      <c r="D41" t="s">
        <v>338</v>
      </c>
    </row>
    <row r="42" spans="1:7" x14ac:dyDescent="0.25">
      <c r="A42" t="s">
        <v>720</v>
      </c>
      <c r="B42" t="s">
        <v>339</v>
      </c>
      <c r="C42" t="s">
        <v>340</v>
      </c>
      <c r="D42" t="s">
        <v>341</v>
      </c>
      <c r="E42">
        <v>0</v>
      </c>
      <c r="F42">
        <v>65535</v>
      </c>
      <c r="G42" t="s">
        <v>61</v>
      </c>
    </row>
    <row r="43" spans="1:7" x14ac:dyDescent="0.25">
      <c r="A43" t="s">
        <v>720</v>
      </c>
      <c r="B43" t="s">
        <v>731</v>
      </c>
      <c r="C43" t="s">
        <v>343</v>
      </c>
      <c r="D43" t="s">
        <v>344</v>
      </c>
      <c r="G43" t="s">
        <v>237</v>
      </c>
    </row>
    <row r="44" spans="1:7" x14ac:dyDescent="0.25">
      <c r="A44" t="s">
        <v>720</v>
      </c>
      <c r="B44" t="s">
        <v>732</v>
      </c>
      <c r="C44" t="s">
        <v>345</v>
      </c>
      <c r="D44" t="s">
        <v>346</v>
      </c>
      <c r="E44">
        <v>0</v>
      </c>
      <c r="F44">
        <v>65535</v>
      </c>
      <c r="G44" t="s">
        <v>64</v>
      </c>
    </row>
    <row r="45" spans="1:7" x14ac:dyDescent="0.25">
      <c r="A45" t="s">
        <v>720</v>
      </c>
      <c r="B45" t="s">
        <v>733</v>
      </c>
      <c r="C45" t="s">
        <v>347</v>
      </c>
      <c r="D45" t="s">
        <v>348</v>
      </c>
      <c r="E45">
        <v>0</v>
      </c>
      <c r="F45">
        <v>5177</v>
      </c>
      <c r="G45" t="s">
        <v>37</v>
      </c>
    </row>
    <row r="46" spans="1:7" x14ac:dyDescent="0.25">
      <c r="A46" t="s">
        <v>720</v>
      </c>
      <c r="B46" t="s">
        <v>734</v>
      </c>
      <c r="C46" t="s">
        <v>350</v>
      </c>
      <c r="D46" t="s">
        <v>351</v>
      </c>
      <c r="E46">
        <v>0</v>
      </c>
      <c r="F46">
        <v>655350</v>
      </c>
      <c r="G46" t="s">
        <v>37</v>
      </c>
    </row>
    <row r="47" spans="1:7" x14ac:dyDescent="0.25">
      <c r="A47" t="s">
        <v>720</v>
      </c>
      <c r="B47" t="s">
        <v>735</v>
      </c>
      <c r="C47" t="s">
        <v>353</v>
      </c>
      <c r="D47" t="s">
        <v>354</v>
      </c>
      <c r="E47">
        <v>0</v>
      </c>
      <c r="F47">
        <v>2</v>
      </c>
      <c r="G47" t="s">
        <v>68</v>
      </c>
    </row>
    <row r="48" spans="1:7" x14ac:dyDescent="0.25">
      <c r="A48" t="s">
        <v>720</v>
      </c>
      <c r="B48" t="s">
        <v>735</v>
      </c>
      <c r="C48" t="s">
        <v>294</v>
      </c>
      <c r="D48" t="s">
        <v>295</v>
      </c>
      <c r="E48">
        <v>0</v>
      </c>
      <c r="F48">
        <v>2</v>
      </c>
      <c r="G48" t="s">
        <v>51</v>
      </c>
    </row>
    <row r="49" spans="1:7" x14ac:dyDescent="0.25">
      <c r="A49" t="s">
        <v>720</v>
      </c>
      <c r="B49" t="s">
        <v>736</v>
      </c>
      <c r="C49" t="s">
        <v>359</v>
      </c>
      <c r="D49" t="s">
        <v>360</v>
      </c>
      <c r="E49">
        <v>0</v>
      </c>
      <c r="F49">
        <v>2</v>
      </c>
      <c r="G49" t="s">
        <v>68</v>
      </c>
    </row>
    <row r="50" spans="1:7" x14ac:dyDescent="0.25">
      <c r="A50" t="s">
        <v>720</v>
      </c>
      <c r="B50" t="s">
        <v>736</v>
      </c>
      <c r="C50" t="s">
        <v>300</v>
      </c>
      <c r="D50" t="s">
        <v>301</v>
      </c>
      <c r="E50">
        <v>0</v>
      </c>
      <c r="F50">
        <v>8</v>
      </c>
      <c r="G50" t="s">
        <v>51</v>
      </c>
    </row>
    <row r="51" spans="1:7" x14ac:dyDescent="0.25">
      <c r="A51" t="s">
        <v>720</v>
      </c>
      <c r="B51" t="s">
        <v>737</v>
      </c>
      <c r="C51" t="s">
        <v>362</v>
      </c>
      <c r="D51" t="s">
        <v>363</v>
      </c>
      <c r="E51">
        <v>0</v>
      </c>
      <c r="F51">
        <v>2</v>
      </c>
      <c r="G51" t="s">
        <v>68</v>
      </c>
    </row>
    <row r="52" spans="1:7" x14ac:dyDescent="0.25">
      <c r="A52" t="s">
        <v>720</v>
      </c>
      <c r="B52" t="s">
        <v>737</v>
      </c>
      <c r="C52" t="s">
        <v>304</v>
      </c>
      <c r="D52" t="s">
        <v>305</v>
      </c>
      <c r="E52">
        <v>0</v>
      </c>
      <c r="F52">
        <v>8</v>
      </c>
      <c r="G52" t="s">
        <v>51</v>
      </c>
    </row>
    <row r="53" spans="1:7" x14ac:dyDescent="0.25">
      <c r="A53" t="s">
        <v>720</v>
      </c>
      <c r="B53" t="s">
        <v>738</v>
      </c>
      <c r="C53" t="s">
        <v>364</v>
      </c>
      <c r="D53" t="s">
        <v>365</v>
      </c>
      <c r="E53">
        <v>0</v>
      </c>
      <c r="F53">
        <v>2</v>
      </c>
      <c r="G53" t="s">
        <v>68</v>
      </c>
    </row>
    <row r="54" spans="1:7" x14ac:dyDescent="0.25">
      <c r="A54" t="s">
        <v>720</v>
      </c>
      <c r="B54" t="s">
        <v>738</v>
      </c>
      <c r="C54" t="s">
        <v>308</v>
      </c>
      <c r="D54" t="s">
        <v>309</v>
      </c>
      <c r="E54">
        <v>0</v>
      </c>
      <c r="F54">
        <v>8</v>
      </c>
      <c r="G54" t="s">
        <v>51</v>
      </c>
    </row>
    <row r="55" spans="1:7" x14ac:dyDescent="0.25">
      <c r="A55" t="s">
        <v>720</v>
      </c>
      <c r="B55" t="s">
        <v>739</v>
      </c>
      <c r="C55" t="s">
        <v>366</v>
      </c>
      <c r="D55" t="s">
        <v>367</v>
      </c>
      <c r="E55">
        <v>0</v>
      </c>
      <c r="F55">
        <v>2</v>
      </c>
      <c r="G55" t="s">
        <v>68</v>
      </c>
    </row>
    <row r="56" spans="1:7" x14ac:dyDescent="0.25">
      <c r="A56" t="s">
        <v>720</v>
      </c>
      <c r="B56" t="s">
        <v>739</v>
      </c>
      <c r="C56" t="s">
        <v>312</v>
      </c>
      <c r="D56" t="s">
        <v>313</v>
      </c>
      <c r="E56">
        <v>0</v>
      </c>
      <c r="F56">
        <v>8</v>
      </c>
      <c r="G56" t="s">
        <v>51</v>
      </c>
    </row>
    <row r="57" spans="1:7" x14ac:dyDescent="0.25">
      <c r="A57" t="s">
        <v>720</v>
      </c>
      <c r="B57" t="s">
        <v>740</v>
      </c>
      <c r="C57" t="s">
        <v>368</v>
      </c>
      <c r="D57" t="s">
        <v>369</v>
      </c>
      <c r="E57">
        <v>0</v>
      </c>
      <c r="F57">
        <v>2</v>
      </c>
      <c r="G57" t="s">
        <v>68</v>
      </c>
    </row>
    <row r="58" spans="1:7" x14ac:dyDescent="0.25">
      <c r="A58" t="s">
        <v>720</v>
      </c>
      <c r="B58" t="s">
        <v>740</v>
      </c>
      <c r="C58" t="s">
        <v>316</v>
      </c>
      <c r="D58" t="s">
        <v>317</v>
      </c>
      <c r="E58">
        <v>0</v>
      </c>
      <c r="F58">
        <v>8</v>
      </c>
      <c r="G58" t="s">
        <v>51</v>
      </c>
    </row>
    <row r="59" spans="1:7" x14ac:dyDescent="0.25">
      <c r="A59" t="s">
        <v>720</v>
      </c>
      <c r="B59" t="s">
        <v>370</v>
      </c>
      <c r="C59" t="s">
        <v>371</v>
      </c>
      <c r="D59" t="s">
        <v>372</v>
      </c>
      <c r="E59">
        <v>0</v>
      </c>
      <c r="F59">
        <v>2</v>
      </c>
      <c r="G59" t="s">
        <v>68</v>
      </c>
    </row>
    <row r="60" spans="1:7" x14ac:dyDescent="0.25">
      <c r="A60" t="s">
        <v>720</v>
      </c>
      <c r="B60" t="s">
        <v>373</v>
      </c>
      <c r="C60" t="s">
        <v>321</v>
      </c>
      <c r="D60" t="s">
        <v>322</v>
      </c>
      <c r="E60">
        <v>0</v>
      </c>
      <c r="F60">
        <v>8</v>
      </c>
      <c r="G60" t="s">
        <v>51</v>
      </c>
    </row>
    <row r="61" spans="1:7" x14ac:dyDescent="0.25">
      <c r="A61" t="s">
        <v>720</v>
      </c>
      <c r="B61" t="s">
        <v>373</v>
      </c>
      <c r="C61" t="s">
        <v>374</v>
      </c>
      <c r="D61" t="s">
        <v>375</v>
      </c>
      <c r="E61">
        <v>0</v>
      </c>
      <c r="F61">
        <v>2</v>
      </c>
      <c r="G61" t="s">
        <v>68</v>
      </c>
    </row>
    <row r="62" spans="1:7" x14ac:dyDescent="0.25">
      <c r="A62" t="s">
        <v>720</v>
      </c>
      <c r="B62" t="s">
        <v>376</v>
      </c>
      <c r="C62" t="s">
        <v>326</v>
      </c>
      <c r="D62" t="s">
        <v>327</v>
      </c>
      <c r="E62">
        <v>0</v>
      </c>
      <c r="F62">
        <v>8</v>
      </c>
      <c r="G62" t="s">
        <v>51</v>
      </c>
    </row>
    <row r="63" spans="1:7" x14ac:dyDescent="0.25">
      <c r="A63" t="s">
        <v>720</v>
      </c>
      <c r="B63" t="s">
        <v>376</v>
      </c>
      <c r="C63" t="s">
        <v>377</v>
      </c>
      <c r="D63" t="s">
        <v>378</v>
      </c>
      <c r="E63">
        <v>0</v>
      </c>
      <c r="F63">
        <v>100</v>
      </c>
      <c r="G63" t="s">
        <v>29</v>
      </c>
    </row>
    <row r="64" spans="1:7" x14ac:dyDescent="0.25">
      <c r="A64" t="s">
        <v>720</v>
      </c>
      <c r="B64" t="s">
        <v>379</v>
      </c>
      <c r="C64" t="s">
        <v>380</v>
      </c>
      <c r="D64" t="s">
        <v>381</v>
      </c>
      <c r="E64">
        <v>-100</v>
      </c>
      <c r="F64">
        <v>99</v>
      </c>
      <c r="G64" t="s">
        <v>29</v>
      </c>
    </row>
    <row r="65" spans="1:7" x14ac:dyDescent="0.25">
      <c r="A65" t="s">
        <v>720</v>
      </c>
      <c r="B65" t="s">
        <v>382</v>
      </c>
      <c r="C65" t="s">
        <v>383</v>
      </c>
      <c r="D65" t="s">
        <v>384</v>
      </c>
      <c r="E65">
        <v>0</v>
      </c>
      <c r="F65">
        <v>100</v>
      </c>
      <c r="G65" t="s">
        <v>29</v>
      </c>
    </row>
    <row r="66" spans="1:7" x14ac:dyDescent="0.25">
      <c r="A66" t="s">
        <v>720</v>
      </c>
      <c r="B66" t="s">
        <v>385</v>
      </c>
      <c r="C66" t="s">
        <v>386</v>
      </c>
      <c r="D66" t="s">
        <v>387</v>
      </c>
      <c r="E66">
        <v>0</v>
      </c>
      <c r="F66">
        <v>100</v>
      </c>
      <c r="G66" t="s">
        <v>29</v>
      </c>
    </row>
    <row r="67" spans="1:7" x14ac:dyDescent="0.25">
      <c r="A67" t="s">
        <v>720</v>
      </c>
      <c r="B67" t="s">
        <v>741</v>
      </c>
      <c r="C67" t="s">
        <v>388</v>
      </c>
      <c r="D67" t="s">
        <v>389</v>
      </c>
      <c r="E67">
        <v>0</v>
      </c>
      <c r="F67">
        <v>255</v>
      </c>
      <c r="G67" t="s">
        <v>81</v>
      </c>
    </row>
    <row r="68" spans="1:7" x14ac:dyDescent="0.25">
      <c r="A68" t="s">
        <v>720</v>
      </c>
      <c r="B68" t="s">
        <v>742</v>
      </c>
      <c r="C68" t="s">
        <v>390</v>
      </c>
      <c r="D68" t="s">
        <v>391</v>
      </c>
      <c r="E68">
        <v>0</v>
      </c>
      <c r="F68">
        <v>65535</v>
      </c>
      <c r="G68" t="s">
        <v>64</v>
      </c>
    </row>
    <row r="69" spans="1:7" x14ac:dyDescent="0.25">
      <c r="A69" t="s">
        <v>720</v>
      </c>
      <c r="B69" t="s">
        <v>743</v>
      </c>
      <c r="C69" t="s">
        <v>392</v>
      </c>
      <c r="D69" t="s">
        <v>393</v>
      </c>
      <c r="E69">
        <v>-8192</v>
      </c>
      <c r="F69">
        <v>8192</v>
      </c>
      <c r="G69" t="s">
        <v>84</v>
      </c>
    </row>
    <row r="70" spans="1:7" x14ac:dyDescent="0.25">
      <c r="A70" t="s">
        <v>720</v>
      </c>
      <c r="B70" t="s">
        <v>744</v>
      </c>
      <c r="C70" t="s">
        <v>395</v>
      </c>
      <c r="D70" t="s">
        <v>396</v>
      </c>
      <c r="E70">
        <v>0</v>
      </c>
      <c r="F70">
        <v>255</v>
      </c>
      <c r="G70" t="s">
        <v>37</v>
      </c>
    </row>
    <row r="71" spans="1:7" x14ac:dyDescent="0.25">
      <c r="A71" t="s">
        <v>720</v>
      </c>
      <c r="B71" t="s">
        <v>745</v>
      </c>
      <c r="C71" t="s">
        <v>353</v>
      </c>
      <c r="D71" t="s">
        <v>354</v>
      </c>
      <c r="E71">
        <v>0</v>
      </c>
      <c r="F71">
        <v>2</v>
      </c>
      <c r="G71" t="s">
        <v>68</v>
      </c>
    </row>
    <row r="72" spans="1:7" x14ac:dyDescent="0.25">
      <c r="A72" t="s">
        <v>720</v>
      </c>
      <c r="B72" t="s">
        <v>745</v>
      </c>
      <c r="C72" t="s">
        <v>397</v>
      </c>
      <c r="D72" t="s">
        <v>398</v>
      </c>
      <c r="E72">
        <v>-128</v>
      </c>
      <c r="F72">
        <v>128</v>
      </c>
      <c r="G72" t="s">
        <v>181</v>
      </c>
    </row>
    <row r="73" spans="1:7" x14ac:dyDescent="0.25">
      <c r="A73" t="s">
        <v>720</v>
      </c>
      <c r="B73" t="s">
        <v>746</v>
      </c>
      <c r="C73" t="s">
        <v>359</v>
      </c>
      <c r="D73" t="s">
        <v>360</v>
      </c>
      <c r="E73">
        <v>0</v>
      </c>
      <c r="F73">
        <v>2</v>
      </c>
      <c r="G73" t="s">
        <v>68</v>
      </c>
    </row>
    <row r="74" spans="1:7" x14ac:dyDescent="0.25">
      <c r="A74" t="s">
        <v>720</v>
      </c>
      <c r="B74" t="s">
        <v>746</v>
      </c>
      <c r="C74" t="s">
        <v>401</v>
      </c>
      <c r="D74" t="s">
        <v>402</v>
      </c>
      <c r="E74">
        <v>-128</v>
      </c>
      <c r="F74">
        <v>128</v>
      </c>
      <c r="G74" t="s">
        <v>181</v>
      </c>
    </row>
    <row r="75" spans="1:7" x14ac:dyDescent="0.25">
      <c r="A75" t="s">
        <v>720</v>
      </c>
      <c r="B75" t="s">
        <v>747</v>
      </c>
      <c r="C75" t="s">
        <v>362</v>
      </c>
      <c r="D75" t="s">
        <v>363</v>
      </c>
      <c r="E75">
        <v>0</v>
      </c>
      <c r="F75">
        <v>2</v>
      </c>
      <c r="G75" t="s">
        <v>68</v>
      </c>
    </row>
    <row r="76" spans="1:7" x14ac:dyDescent="0.25">
      <c r="A76" t="s">
        <v>720</v>
      </c>
      <c r="B76" t="s">
        <v>747</v>
      </c>
      <c r="C76" t="s">
        <v>403</v>
      </c>
      <c r="D76" t="s">
        <v>404</v>
      </c>
      <c r="E76">
        <v>-128</v>
      </c>
      <c r="F76">
        <v>128</v>
      </c>
      <c r="G76" t="s">
        <v>181</v>
      </c>
    </row>
    <row r="77" spans="1:7" x14ac:dyDescent="0.25">
      <c r="A77" t="s">
        <v>720</v>
      </c>
      <c r="B77" t="s">
        <v>748</v>
      </c>
      <c r="C77" t="s">
        <v>364</v>
      </c>
      <c r="D77" t="s">
        <v>365</v>
      </c>
      <c r="E77">
        <v>0</v>
      </c>
      <c r="F77">
        <v>2</v>
      </c>
      <c r="G77" t="s">
        <v>68</v>
      </c>
    </row>
    <row r="78" spans="1:7" x14ac:dyDescent="0.25">
      <c r="A78" t="s">
        <v>720</v>
      </c>
      <c r="B78" t="s">
        <v>748</v>
      </c>
      <c r="C78" t="s">
        <v>405</v>
      </c>
      <c r="D78" t="s">
        <v>406</v>
      </c>
      <c r="E78">
        <v>-128</v>
      </c>
      <c r="F78">
        <v>128</v>
      </c>
      <c r="G78" t="s">
        <v>181</v>
      </c>
    </row>
    <row r="79" spans="1:7" x14ac:dyDescent="0.25">
      <c r="A79" t="s">
        <v>720</v>
      </c>
      <c r="B79" t="s">
        <v>749</v>
      </c>
      <c r="C79" t="s">
        <v>366</v>
      </c>
      <c r="D79" t="s">
        <v>367</v>
      </c>
      <c r="E79">
        <v>0</v>
      </c>
      <c r="F79">
        <v>2</v>
      </c>
      <c r="G79" t="s">
        <v>68</v>
      </c>
    </row>
    <row r="80" spans="1:7" x14ac:dyDescent="0.25">
      <c r="A80" t="s">
        <v>720</v>
      </c>
      <c r="B80" t="s">
        <v>749</v>
      </c>
      <c r="C80" t="s">
        <v>407</v>
      </c>
      <c r="D80" t="s">
        <v>408</v>
      </c>
      <c r="E80">
        <v>-128</v>
      </c>
      <c r="F80">
        <v>128</v>
      </c>
      <c r="G80" t="s">
        <v>181</v>
      </c>
    </row>
    <row r="81" spans="1:7" x14ac:dyDescent="0.25">
      <c r="A81" t="s">
        <v>720</v>
      </c>
      <c r="B81" t="s">
        <v>750</v>
      </c>
      <c r="C81" t="s">
        <v>368</v>
      </c>
      <c r="D81" t="s">
        <v>369</v>
      </c>
      <c r="E81">
        <v>0</v>
      </c>
      <c r="F81">
        <v>2</v>
      </c>
      <c r="G81" t="s">
        <v>68</v>
      </c>
    </row>
    <row r="82" spans="1:7" x14ac:dyDescent="0.25">
      <c r="A82" t="s">
        <v>720</v>
      </c>
      <c r="B82" t="s">
        <v>750</v>
      </c>
      <c r="C82" t="s">
        <v>409</v>
      </c>
      <c r="D82" t="s">
        <v>410</v>
      </c>
      <c r="E82">
        <v>-128</v>
      </c>
      <c r="F82">
        <v>128</v>
      </c>
      <c r="G82" t="s">
        <v>181</v>
      </c>
    </row>
    <row r="83" spans="1:7" x14ac:dyDescent="0.25">
      <c r="A83" t="s">
        <v>720</v>
      </c>
      <c r="B83" t="s">
        <v>411</v>
      </c>
      <c r="C83" t="s">
        <v>371</v>
      </c>
      <c r="D83" t="s">
        <v>372</v>
      </c>
      <c r="E83">
        <v>0</v>
      </c>
      <c r="F83">
        <v>2</v>
      </c>
      <c r="G83" t="s">
        <v>68</v>
      </c>
    </row>
    <row r="84" spans="1:7" x14ac:dyDescent="0.25">
      <c r="A84" t="s">
        <v>720</v>
      </c>
      <c r="B84" t="s">
        <v>414</v>
      </c>
      <c r="C84" t="s">
        <v>412</v>
      </c>
      <c r="D84" t="s">
        <v>413</v>
      </c>
      <c r="E84">
        <v>-128</v>
      </c>
      <c r="F84">
        <v>128</v>
      </c>
      <c r="G84" t="s">
        <v>181</v>
      </c>
    </row>
    <row r="85" spans="1:7" x14ac:dyDescent="0.25">
      <c r="A85" t="s">
        <v>720</v>
      </c>
      <c r="B85" t="s">
        <v>414</v>
      </c>
      <c r="C85" t="s">
        <v>374</v>
      </c>
      <c r="D85" t="s">
        <v>375</v>
      </c>
      <c r="E85">
        <v>0</v>
      </c>
      <c r="F85">
        <v>2</v>
      </c>
      <c r="G85" t="s">
        <v>68</v>
      </c>
    </row>
    <row r="86" spans="1:7" x14ac:dyDescent="0.25">
      <c r="A86" t="s">
        <v>720</v>
      </c>
      <c r="B86" t="s">
        <v>417</v>
      </c>
      <c r="C86" t="s">
        <v>415</v>
      </c>
      <c r="D86" t="s">
        <v>416</v>
      </c>
      <c r="E86">
        <v>-128</v>
      </c>
      <c r="F86">
        <v>128</v>
      </c>
      <c r="G86" t="s">
        <v>181</v>
      </c>
    </row>
    <row r="87" spans="1:7" x14ac:dyDescent="0.25">
      <c r="A87" t="s">
        <v>720</v>
      </c>
      <c r="B87" t="s">
        <v>417</v>
      </c>
      <c r="C87" t="s">
        <v>418</v>
      </c>
      <c r="D87" t="s">
        <v>419</v>
      </c>
      <c r="E87">
        <v>-40</v>
      </c>
      <c r="F87">
        <v>6514</v>
      </c>
      <c r="G87" t="s">
        <v>31</v>
      </c>
    </row>
    <row r="88" spans="1:7" x14ac:dyDescent="0.25">
      <c r="A88" t="s">
        <v>720</v>
      </c>
      <c r="B88" t="s">
        <v>421</v>
      </c>
      <c r="C88" t="s">
        <v>422</v>
      </c>
      <c r="D88" t="s">
        <v>423</v>
      </c>
      <c r="E88">
        <v>-40</v>
      </c>
      <c r="F88">
        <v>6514</v>
      </c>
      <c r="G88" t="s">
        <v>31</v>
      </c>
    </row>
    <row r="89" spans="1:7" x14ac:dyDescent="0.25">
      <c r="A89" t="s">
        <v>720</v>
      </c>
      <c r="B89" t="s">
        <v>424</v>
      </c>
      <c r="C89" t="s">
        <v>425</v>
      </c>
      <c r="D89" t="s">
        <v>426</v>
      </c>
      <c r="E89">
        <v>-40</v>
      </c>
      <c r="F89">
        <v>6514</v>
      </c>
      <c r="G89" t="s">
        <v>31</v>
      </c>
    </row>
    <row r="90" spans="1:7" x14ac:dyDescent="0.25">
      <c r="A90" t="s">
        <v>720</v>
      </c>
      <c r="B90" t="s">
        <v>427</v>
      </c>
      <c r="C90" t="s">
        <v>428</v>
      </c>
      <c r="D90" t="s">
        <v>429</v>
      </c>
      <c r="E90">
        <v>-40</v>
      </c>
      <c r="F90">
        <v>6514</v>
      </c>
      <c r="G90" t="s">
        <v>31</v>
      </c>
    </row>
    <row r="91" spans="1:7" x14ac:dyDescent="0.25">
      <c r="A91" t="s">
        <v>720</v>
      </c>
      <c r="B91" t="s">
        <v>751</v>
      </c>
      <c r="C91" t="s">
        <v>430</v>
      </c>
      <c r="D91" t="s">
        <v>431</v>
      </c>
      <c r="G91" t="s">
        <v>237</v>
      </c>
    </row>
    <row r="92" spans="1:7" x14ac:dyDescent="0.25">
      <c r="A92" t="s">
        <v>720</v>
      </c>
      <c r="B92" t="s">
        <v>752</v>
      </c>
      <c r="C92" t="s">
        <v>432</v>
      </c>
      <c r="D92" t="s">
        <v>433</v>
      </c>
      <c r="G92" t="s">
        <v>237</v>
      </c>
    </row>
    <row r="93" spans="1:7" x14ac:dyDescent="0.25">
      <c r="A93" t="s">
        <v>720</v>
      </c>
      <c r="B93" t="s">
        <v>753</v>
      </c>
      <c r="C93" t="s">
        <v>434</v>
      </c>
      <c r="D93" t="s">
        <v>435</v>
      </c>
      <c r="E93">
        <v>0</v>
      </c>
      <c r="F93">
        <v>66</v>
      </c>
      <c r="G93" t="s">
        <v>101</v>
      </c>
    </row>
    <row r="94" spans="1:7" x14ac:dyDescent="0.25">
      <c r="A94" t="s">
        <v>720</v>
      </c>
      <c r="B94" t="s">
        <v>754</v>
      </c>
      <c r="C94" t="s">
        <v>437</v>
      </c>
      <c r="D94" t="s">
        <v>438</v>
      </c>
      <c r="E94">
        <v>0</v>
      </c>
      <c r="F94">
        <v>25700</v>
      </c>
      <c r="G94" t="s">
        <v>29</v>
      </c>
    </row>
    <row r="95" spans="1:7" x14ac:dyDescent="0.25">
      <c r="A95" t="s">
        <v>720</v>
      </c>
      <c r="B95" t="s">
        <v>755</v>
      </c>
      <c r="C95" t="s">
        <v>440</v>
      </c>
      <c r="D95" t="s">
        <v>441</v>
      </c>
      <c r="E95">
        <v>0</v>
      </c>
      <c r="F95">
        <v>2</v>
      </c>
      <c r="G95" t="s">
        <v>68</v>
      </c>
    </row>
    <row r="96" spans="1:7" x14ac:dyDescent="0.25">
      <c r="A96" t="s">
        <v>720</v>
      </c>
      <c r="B96" t="s">
        <v>756</v>
      </c>
      <c r="C96" t="s">
        <v>442</v>
      </c>
      <c r="D96" t="s">
        <v>443</v>
      </c>
      <c r="E96">
        <v>0</v>
      </c>
      <c r="F96">
        <v>100</v>
      </c>
      <c r="G96" t="s">
        <v>29</v>
      </c>
    </row>
    <row r="97" spans="1:7" x14ac:dyDescent="0.25">
      <c r="A97" t="s">
        <v>720</v>
      </c>
      <c r="B97" t="s">
        <v>757</v>
      </c>
      <c r="C97" t="s">
        <v>444</v>
      </c>
      <c r="D97" t="s">
        <v>445</v>
      </c>
      <c r="E97">
        <v>-40</v>
      </c>
      <c r="F97">
        <v>215</v>
      </c>
      <c r="G97" t="s">
        <v>31</v>
      </c>
    </row>
    <row r="98" spans="1:7" x14ac:dyDescent="0.25">
      <c r="A98" t="s">
        <v>720</v>
      </c>
      <c r="B98" t="s">
        <v>758</v>
      </c>
      <c r="C98" t="s">
        <v>446</v>
      </c>
      <c r="D98" t="s">
        <v>447</v>
      </c>
      <c r="E98">
        <v>0</v>
      </c>
      <c r="F98">
        <v>100</v>
      </c>
      <c r="G98" t="s">
        <v>29</v>
      </c>
    </row>
    <row r="99" spans="1:7" x14ac:dyDescent="0.25">
      <c r="A99" t="s">
        <v>720</v>
      </c>
      <c r="B99" t="s">
        <v>759</v>
      </c>
      <c r="C99" t="s">
        <v>448</v>
      </c>
      <c r="D99" t="s">
        <v>449</v>
      </c>
      <c r="E99">
        <v>0</v>
      </c>
      <c r="F99">
        <v>100</v>
      </c>
      <c r="G99" t="s">
        <v>29</v>
      </c>
    </row>
    <row r="100" spans="1:7" x14ac:dyDescent="0.25">
      <c r="A100" t="s">
        <v>720</v>
      </c>
      <c r="B100" t="s">
        <v>760</v>
      </c>
      <c r="C100" t="s">
        <v>450</v>
      </c>
      <c r="D100" t="s">
        <v>451</v>
      </c>
      <c r="E100">
        <v>0</v>
      </c>
      <c r="F100">
        <v>100</v>
      </c>
      <c r="G100" t="s">
        <v>29</v>
      </c>
    </row>
    <row r="101" spans="1:7" x14ac:dyDescent="0.25">
      <c r="A101" t="s">
        <v>720</v>
      </c>
      <c r="B101" t="s">
        <v>452</v>
      </c>
      <c r="C101" t="s">
        <v>453</v>
      </c>
      <c r="D101" t="s">
        <v>454</v>
      </c>
      <c r="E101">
        <v>0</v>
      </c>
      <c r="F101">
        <v>100</v>
      </c>
      <c r="G101" t="s">
        <v>29</v>
      </c>
    </row>
    <row r="102" spans="1:7" x14ac:dyDescent="0.25">
      <c r="A102" t="s">
        <v>720</v>
      </c>
      <c r="B102" t="s">
        <v>455</v>
      </c>
      <c r="C102" t="s">
        <v>456</v>
      </c>
      <c r="D102" t="s">
        <v>457</v>
      </c>
      <c r="E102">
        <v>0</v>
      </c>
      <c r="F102">
        <v>100</v>
      </c>
      <c r="G102" t="s">
        <v>29</v>
      </c>
    </row>
    <row r="103" spans="1:7" x14ac:dyDescent="0.25">
      <c r="A103" t="s">
        <v>720</v>
      </c>
      <c r="B103" t="s">
        <v>458</v>
      </c>
      <c r="C103" t="s">
        <v>459</v>
      </c>
      <c r="D103" t="s">
        <v>460</v>
      </c>
      <c r="E103">
        <v>0</v>
      </c>
      <c r="F103">
        <v>100</v>
      </c>
      <c r="G103" t="s">
        <v>29</v>
      </c>
    </row>
    <row r="104" spans="1:7" x14ac:dyDescent="0.25">
      <c r="A104" t="s">
        <v>720</v>
      </c>
      <c r="B104" t="s">
        <v>461</v>
      </c>
      <c r="C104" t="s">
        <v>462</v>
      </c>
      <c r="D104" t="s">
        <v>463</v>
      </c>
      <c r="E104">
        <v>0</v>
      </c>
      <c r="F104">
        <v>65535</v>
      </c>
      <c r="G104" t="s">
        <v>113</v>
      </c>
    </row>
    <row r="105" spans="1:7" x14ac:dyDescent="0.25">
      <c r="A105" t="s">
        <v>720</v>
      </c>
      <c r="B105" t="s">
        <v>464</v>
      </c>
      <c r="C105" t="s">
        <v>465</v>
      </c>
      <c r="D105" t="s">
        <v>466</v>
      </c>
      <c r="E105">
        <v>0</v>
      </c>
      <c r="F105">
        <v>65535</v>
      </c>
      <c r="G105" t="s">
        <v>113</v>
      </c>
    </row>
    <row r="106" spans="1:7" x14ac:dyDescent="0.25">
      <c r="A106" t="s">
        <v>720</v>
      </c>
      <c r="B106" t="s">
        <v>467</v>
      </c>
      <c r="C106" t="s">
        <v>468</v>
      </c>
      <c r="D106" t="s">
        <v>469</v>
      </c>
      <c r="E106">
        <v>0</v>
      </c>
      <c r="F106">
        <v>255</v>
      </c>
      <c r="G106" t="s">
        <v>68</v>
      </c>
    </row>
    <row r="107" spans="1:7" x14ac:dyDescent="0.25">
      <c r="A107" t="s">
        <v>720</v>
      </c>
      <c r="B107" t="s">
        <v>761</v>
      </c>
      <c r="C107" t="s">
        <v>470</v>
      </c>
      <c r="D107" t="s">
        <v>471</v>
      </c>
      <c r="E107">
        <v>0</v>
      </c>
      <c r="F107">
        <v>255</v>
      </c>
      <c r="G107" t="s">
        <v>101</v>
      </c>
    </row>
    <row r="108" spans="1:7" x14ac:dyDescent="0.25">
      <c r="A108" t="s">
        <v>720</v>
      </c>
      <c r="B108" t="s">
        <v>762</v>
      </c>
      <c r="C108" t="s">
        <v>472</v>
      </c>
      <c r="D108" t="s">
        <v>473</v>
      </c>
      <c r="E108">
        <v>0</v>
      </c>
      <c r="F108">
        <v>255</v>
      </c>
      <c r="G108" t="s">
        <v>181</v>
      </c>
    </row>
    <row r="109" spans="1:7" x14ac:dyDescent="0.25">
      <c r="A109" t="s">
        <v>720</v>
      </c>
      <c r="B109" t="s">
        <v>763</v>
      </c>
      <c r="C109" t="s">
        <v>475</v>
      </c>
      <c r="D109" t="s">
        <v>476</v>
      </c>
      <c r="E109">
        <v>0</v>
      </c>
      <c r="F109">
        <v>2550</v>
      </c>
      <c r="G109" t="s">
        <v>37</v>
      </c>
    </row>
    <row r="110" spans="1:7" x14ac:dyDescent="0.25">
      <c r="A110" t="s">
        <v>720</v>
      </c>
      <c r="B110" t="s">
        <v>761</v>
      </c>
      <c r="C110" t="s">
        <v>479</v>
      </c>
      <c r="D110" t="s">
        <v>480</v>
      </c>
      <c r="E110">
        <v>0</v>
      </c>
      <c r="F110">
        <v>2550</v>
      </c>
      <c r="G110" t="s">
        <v>117</v>
      </c>
    </row>
    <row r="111" spans="1:7" x14ac:dyDescent="0.25">
      <c r="A111" t="s">
        <v>720</v>
      </c>
      <c r="B111" t="s">
        <v>762</v>
      </c>
      <c r="C111" t="s">
        <v>481</v>
      </c>
      <c r="D111" t="s">
        <v>482</v>
      </c>
      <c r="G111" t="s">
        <v>237</v>
      </c>
    </row>
    <row r="112" spans="1:7" x14ac:dyDescent="0.25">
      <c r="A112" t="s">
        <v>720</v>
      </c>
      <c r="B112" t="s">
        <v>763</v>
      </c>
      <c r="C112" t="s">
        <v>483</v>
      </c>
      <c r="D112" t="s">
        <v>484</v>
      </c>
      <c r="E112">
        <v>0</v>
      </c>
      <c r="F112">
        <v>100</v>
      </c>
      <c r="G112" t="s">
        <v>29</v>
      </c>
    </row>
    <row r="113" spans="1:7" x14ac:dyDescent="0.25">
      <c r="A113" t="s">
        <v>720</v>
      </c>
      <c r="B113" t="s">
        <v>764</v>
      </c>
      <c r="C113" t="s">
        <v>485</v>
      </c>
      <c r="D113" t="s">
        <v>486</v>
      </c>
      <c r="E113">
        <v>0</v>
      </c>
      <c r="F113">
        <v>328</v>
      </c>
      <c r="G113" t="s">
        <v>37</v>
      </c>
    </row>
    <row r="114" spans="1:7" x14ac:dyDescent="0.25">
      <c r="A114" t="s">
        <v>720</v>
      </c>
      <c r="B114" t="s">
        <v>765</v>
      </c>
      <c r="C114" t="s">
        <v>488</v>
      </c>
      <c r="D114" t="s">
        <v>489</v>
      </c>
      <c r="E114">
        <v>-32767</v>
      </c>
      <c r="F114">
        <v>32768</v>
      </c>
      <c r="G114" t="s">
        <v>84</v>
      </c>
    </row>
    <row r="115" spans="1:7" x14ac:dyDescent="0.25">
      <c r="A115" t="s">
        <v>720</v>
      </c>
      <c r="B115" t="s">
        <v>766</v>
      </c>
      <c r="C115" t="s">
        <v>491</v>
      </c>
      <c r="D115" t="s">
        <v>492</v>
      </c>
      <c r="E115">
        <v>-100</v>
      </c>
      <c r="F115">
        <v>99</v>
      </c>
      <c r="G115" t="s">
        <v>29</v>
      </c>
    </row>
    <row r="116" spans="1:7" x14ac:dyDescent="0.25">
      <c r="A116" t="s">
        <v>720</v>
      </c>
      <c r="B116" t="s">
        <v>766</v>
      </c>
      <c r="C116" t="s">
        <v>493</v>
      </c>
      <c r="D116" t="s">
        <v>494</v>
      </c>
      <c r="E116">
        <v>-100</v>
      </c>
      <c r="F116">
        <v>99</v>
      </c>
      <c r="G116" t="s">
        <v>29</v>
      </c>
    </row>
    <row r="117" spans="1:7" x14ac:dyDescent="0.25">
      <c r="A117" t="s">
        <v>720</v>
      </c>
      <c r="B117" t="s">
        <v>767</v>
      </c>
      <c r="C117" t="s">
        <v>495</v>
      </c>
      <c r="D117" t="s">
        <v>496</v>
      </c>
      <c r="E117">
        <v>-100</v>
      </c>
      <c r="F117">
        <v>99</v>
      </c>
      <c r="G117" t="s">
        <v>29</v>
      </c>
    </row>
    <row r="118" spans="1:7" x14ac:dyDescent="0.25">
      <c r="A118" t="s">
        <v>720</v>
      </c>
      <c r="B118" t="s">
        <v>767</v>
      </c>
      <c r="C118" t="s">
        <v>497</v>
      </c>
      <c r="D118" t="s">
        <v>498</v>
      </c>
      <c r="E118">
        <v>-100</v>
      </c>
      <c r="F118">
        <v>99</v>
      </c>
      <c r="G118" t="s">
        <v>29</v>
      </c>
    </row>
    <row r="119" spans="1:7" x14ac:dyDescent="0.25">
      <c r="A119" t="s">
        <v>720</v>
      </c>
      <c r="B119" t="s">
        <v>768</v>
      </c>
      <c r="C119" t="s">
        <v>499</v>
      </c>
      <c r="D119" t="s">
        <v>500</v>
      </c>
      <c r="E119">
        <v>-100</v>
      </c>
      <c r="F119">
        <v>99</v>
      </c>
      <c r="G119" t="s">
        <v>29</v>
      </c>
    </row>
    <row r="120" spans="1:7" x14ac:dyDescent="0.25">
      <c r="A120" t="s">
        <v>720</v>
      </c>
      <c r="B120" t="s">
        <v>768</v>
      </c>
      <c r="C120" t="s">
        <v>501</v>
      </c>
      <c r="D120" t="s">
        <v>502</v>
      </c>
      <c r="E120">
        <v>-100</v>
      </c>
      <c r="F120">
        <v>99</v>
      </c>
      <c r="G120" t="s">
        <v>29</v>
      </c>
    </row>
    <row r="121" spans="1:7" x14ac:dyDescent="0.25">
      <c r="A121" t="s">
        <v>720</v>
      </c>
      <c r="B121" t="s">
        <v>769</v>
      </c>
      <c r="C121" t="s">
        <v>503</v>
      </c>
      <c r="D121" t="s">
        <v>504</v>
      </c>
      <c r="E121">
        <v>-100</v>
      </c>
      <c r="F121">
        <v>99</v>
      </c>
      <c r="G121" t="s">
        <v>29</v>
      </c>
    </row>
    <row r="122" spans="1:7" x14ac:dyDescent="0.25">
      <c r="A122" t="s">
        <v>720</v>
      </c>
      <c r="B122" t="s">
        <v>769</v>
      </c>
      <c r="C122" t="s">
        <v>505</v>
      </c>
      <c r="D122" t="s">
        <v>506</v>
      </c>
      <c r="E122">
        <v>-100</v>
      </c>
      <c r="F122">
        <v>99</v>
      </c>
      <c r="G122" t="s">
        <v>29</v>
      </c>
    </row>
    <row r="123" spans="1:7" x14ac:dyDescent="0.25">
      <c r="A123" t="s">
        <v>720</v>
      </c>
      <c r="B123" t="s">
        <v>770</v>
      </c>
      <c r="C123" t="s">
        <v>507</v>
      </c>
      <c r="D123" t="s">
        <v>508</v>
      </c>
      <c r="E123">
        <v>0</v>
      </c>
      <c r="F123">
        <v>655350</v>
      </c>
      <c r="G123" t="s">
        <v>37</v>
      </c>
    </row>
    <row r="124" spans="1:7" x14ac:dyDescent="0.25">
      <c r="A124" t="s">
        <v>720</v>
      </c>
      <c r="B124" t="s">
        <v>509</v>
      </c>
      <c r="C124" t="s">
        <v>510</v>
      </c>
      <c r="D124" t="s">
        <v>511</v>
      </c>
      <c r="E124">
        <v>0</v>
      </c>
      <c r="F124">
        <v>100</v>
      </c>
      <c r="G124" t="s">
        <v>29</v>
      </c>
    </row>
    <row r="125" spans="1:7" x14ac:dyDescent="0.25">
      <c r="A125" t="s">
        <v>720</v>
      </c>
      <c r="B125" t="s">
        <v>512</v>
      </c>
      <c r="C125" t="s">
        <v>513</v>
      </c>
      <c r="D125" t="s">
        <v>514</v>
      </c>
      <c r="E125">
        <v>0</v>
      </c>
      <c r="F125">
        <v>100</v>
      </c>
      <c r="G125" t="s">
        <v>29</v>
      </c>
    </row>
    <row r="126" spans="1:7" x14ac:dyDescent="0.25">
      <c r="A126" t="s">
        <v>720</v>
      </c>
      <c r="B126" t="s">
        <v>515</v>
      </c>
      <c r="C126" t="s">
        <v>516</v>
      </c>
      <c r="D126" t="s">
        <v>517</v>
      </c>
      <c r="E126">
        <v>-40</v>
      </c>
      <c r="F126">
        <v>215</v>
      </c>
      <c r="G126" t="s">
        <v>31</v>
      </c>
    </row>
    <row r="127" spans="1:7" x14ac:dyDescent="0.25">
      <c r="A127" t="s">
        <v>720</v>
      </c>
      <c r="B127" t="s">
        <v>518</v>
      </c>
      <c r="C127" t="s">
        <v>519</v>
      </c>
      <c r="D127" t="s">
        <v>520</v>
      </c>
      <c r="E127">
        <v>-210</v>
      </c>
      <c r="F127">
        <v>302</v>
      </c>
      <c r="G127" t="s">
        <v>131</v>
      </c>
    </row>
    <row r="128" spans="1:7" x14ac:dyDescent="0.25">
      <c r="A128" t="s">
        <v>720</v>
      </c>
      <c r="B128" t="s">
        <v>523</v>
      </c>
      <c r="C128" t="s">
        <v>524</v>
      </c>
      <c r="D128" t="s">
        <v>525</v>
      </c>
      <c r="E128">
        <v>0</v>
      </c>
      <c r="F128">
        <v>3277</v>
      </c>
      <c r="G128" t="s">
        <v>133</v>
      </c>
    </row>
    <row r="129" spans="1:7" x14ac:dyDescent="0.25">
      <c r="A129" t="s">
        <v>720</v>
      </c>
      <c r="B129" t="s">
        <v>527</v>
      </c>
      <c r="C129" t="s">
        <v>528</v>
      </c>
      <c r="D129" t="s">
        <v>529</v>
      </c>
      <c r="G129" t="s">
        <v>237</v>
      </c>
    </row>
    <row r="130" spans="1:7" x14ac:dyDescent="0.25">
      <c r="A130" t="s">
        <v>720</v>
      </c>
      <c r="B130" t="s">
        <v>771</v>
      </c>
      <c r="C130" t="s">
        <v>530</v>
      </c>
      <c r="D130" t="s">
        <v>531</v>
      </c>
      <c r="G130" t="s">
        <v>237</v>
      </c>
    </row>
    <row r="131" spans="1:7" x14ac:dyDescent="0.25">
      <c r="A131" t="s">
        <v>720</v>
      </c>
      <c r="B131" t="s">
        <v>772</v>
      </c>
      <c r="C131" t="s">
        <v>532</v>
      </c>
      <c r="D131" t="s">
        <v>533</v>
      </c>
      <c r="E131">
        <v>-125</v>
      </c>
      <c r="F131">
        <v>130</v>
      </c>
      <c r="G131" t="s">
        <v>29</v>
      </c>
    </row>
    <row r="132" spans="1:7" x14ac:dyDescent="0.25">
      <c r="A132" t="s">
        <v>720</v>
      </c>
      <c r="B132" t="s">
        <v>773</v>
      </c>
      <c r="C132" t="s">
        <v>535</v>
      </c>
      <c r="D132" t="s">
        <v>536</v>
      </c>
      <c r="E132">
        <v>-125</v>
      </c>
      <c r="F132">
        <v>130</v>
      </c>
      <c r="G132" t="s">
        <v>29</v>
      </c>
    </row>
    <row r="133" spans="1:7" x14ac:dyDescent="0.25">
      <c r="A133" t="s">
        <v>720</v>
      </c>
      <c r="B133" t="s">
        <v>774</v>
      </c>
      <c r="C133" t="s">
        <v>537</v>
      </c>
      <c r="D133" t="s">
        <v>538</v>
      </c>
      <c r="E133">
        <v>0</v>
      </c>
      <c r="F133">
        <v>65535</v>
      </c>
      <c r="G133" t="s">
        <v>139</v>
      </c>
    </row>
    <row r="134" spans="1:7" x14ac:dyDescent="0.25">
      <c r="A134" t="s">
        <v>720</v>
      </c>
      <c r="B134" t="s">
        <v>775</v>
      </c>
      <c r="C134" t="s">
        <v>539</v>
      </c>
      <c r="D134" t="s">
        <v>540</v>
      </c>
      <c r="E134">
        <v>-125</v>
      </c>
      <c r="F134">
        <v>130</v>
      </c>
      <c r="G134" t="s">
        <v>29</v>
      </c>
    </row>
    <row r="135" spans="1:7" x14ac:dyDescent="0.25">
      <c r="A135" t="s">
        <v>720</v>
      </c>
      <c r="B135" t="s">
        <v>775</v>
      </c>
      <c r="C135" t="s">
        <v>541</v>
      </c>
      <c r="D135" t="s">
        <v>542</v>
      </c>
      <c r="E135">
        <v>-125</v>
      </c>
      <c r="F135">
        <v>130</v>
      </c>
      <c r="G135" t="s">
        <v>29</v>
      </c>
    </row>
    <row r="136" spans="1:7" x14ac:dyDescent="0.25">
      <c r="A136" t="s">
        <v>720</v>
      </c>
      <c r="B136" t="s">
        <v>775</v>
      </c>
      <c r="C136" t="s">
        <v>543</v>
      </c>
      <c r="D136" t="s">
        <v>544</v>
      </c>
      <c r="E136">
        <v>-125</v>
      </c>
      <c r="F136">
        <v>130</v>
      </c>
      <c r="G136" t="s">
        <v>29</v>
      </c>
    </row>
    <row r="137" spans="1:7" x14ac:dyDescent="0.25">
      <c r="A137" t="s">
        <v>720</v>
      </c>
      <c r="B137" t="s">
        <v>775</v>
      </c>
      <c r="C137" t="s">
        <v>545</v>
      </c>
      <c r="D137" t="s">
        <v>546</v>
      </c>
      <c r="E137">
        <v>-125</v>
      </c>
      <c r="F137">
        <v>130</v>
      </c>
      <c r="G137" t="s">
        <v>29</v>
      </c>
    </row>
    <row r="138" spans="1:7" x14ac:dyDescent="0.25">
      <c r="A138" t="s">
        <v>720</v>
      </c>
      <c r="B138" t="s">
        <v>775</v>
      </c>
      <c r="C138" t="s">
        <v>547</v>
      </c>
      <c r="D138" t="s">
        <v>548</v>
      </c>
      <c r="E138">
        <v>-125</v>
      </c>
      <c r="F138">
        <v>130</v>
      </c>
      <c r="G138" t="s">
        <v>29</v>
      </c>
    </row>
    <row r="139" spans="1:7" x14ac:dyDescent="0.25">
      <c r="A139" t="s">
        <v>720</v>
      </c>
      <c r="B139" t="s">
        <v>776</v>
      </c>
      <c r="C139" t="s">
        <v>550</v>
      </c>
      <c r="D139" t="s">
        <v>551</v>
      </c>
      <c r="G139" t="s">
        <v>237</v>
      </c>
    </row>
    <row r="140" spans="1:7" x14ac:dyDescent="0.25">
      <c r="A140" t="s">
        <v>720</v>
      </c>
      <c r="B140" t="s">
        <v>777</v>
      </c>
      <c r="C140" t="s">
        <v>552</v>
      </c>
      <c r="D140" t="s">
        <v>553</v>
      </c>
      <c r="E140">
        <v>0</v>
      </c>
      <c r="F140">
        <v>2048</v>
      </c>
      <c r="G140" t="s">
        <v>47</v>
      </c>
    </row>
    <row r="141" spans="1:7" x14ac:dyDescent="0.25">
      <c r="A141" t="s">
        <v>720</v>
      </c>
      <c r="B141" t="s">
        <v>777</v>
      </c>
      <c r="C141" t="s">
        <v>557</v>
      </c>
      <c r="D141" t="s">
        <v>558</v>
      </c>
      <c r="E141">
        <v>0</v>
      </c>
      <c r="F141">
        <v>2048</v>
      </c>
      <c r="G141" t="s">
        <v>47</v>
      </c>
    </row>
    <row r="142" spans="1:7" x14ac:dyDescent="0.25">
      <c r="A142" t="s">
        <v>720</v>
      </c>
      <c r="B142" t="s">
        <v>778</v>
      </c>
      <c r="C142" t="s">
        <v>560</v>
      </c>
      <c r="D142" t="s">
        <v>561</v>
      </c>
      <c r="E142">
        <v>-40</v>
      </c>
      <c r="F142">
        <v>215</v>
      </c>
      <c r="G142" t="s">
        <v>31</v>
      </c>
    </row>
    <row r="143" spans="1:7" x14ac:dyDescent="0.25">
      <c r="A143" t="s">
        <v>720</v>
      </c>
      <c r="B143" t="s">
        <v>778</v>
      </c>
      <c r="C143" t="s">
        <v>562</v>
      </c>
      <c r="D143" t="s">
        <v>563</v>
      </c>
      <c r="E143">
        <v>-40</v>
      </c>
      <c r="F143">
        <v>215</v>
      </c>
      <c r="G143" t="s">
        <v>31</v>
      </c>
    </row>
    <row r="144" spans="1:7" x14ac:dyDescent="0.25">
      <c r="A144" t="s">
        <v>720</v>
      </c>
      <c r="B144" t="s">
        <v>779</v>
      </c>
      <c r="C144" t="s">
        <v>564</v>
      </c>
      <c r="D144" t="s">
        <v>565</v>
      </c>
      <c r="E144">
        <v>-40</v>
      </c>
      <c r="F144">
        <v>215</v>
      </c>
      <c r="G144" t="s">
        <v>31</v>
      </c>
    </row>
    <row r="145" spans="1:7" x14ac:dyDescent="0.25">
      <c r="A145" t="s">
        <v>720</v>
      </c>
      <c r="B145" t="s">
        <v>779</v>
      </c>
      <c r="C145" t="s">
        <v>566</v>
      </c>
      <c r="D145" t="s">
        <v>567</v>
      </c>
      <c r="E145">
        <v>-40</v>
      </c>
      <c r="F145">
        <v>215</v>
      </c>
      <c r="G145" t="s">
        <v>31</v>
      </c>
    </row>
    <row r="146" spans="1:7" x14ac:dyDescent="0.25">
      <c r="A146" t="s">
        <v>720</v>
      </c>
      <c r="B146" t="s">
        <v>780</v>
      </c>
      <c r="C146" t="s">
        <v>568</v>
      </c>
      <c r="D146" t="s">
        <v>569</v>
      </c>
    </row>
    <row r="147" spans="1:7" x14ac:dyDescent="0.25">
      <c r="A147" t="s">
        <v>720</v>
      </c>
      <c r="B147" t="s">
        <v>570</v>
      </c>
      <c r="C147" t="s">
        <v>571</v>
      </c>
      <c r="D147" t="s">
        <v>572</v>
      </c>
    </row>
    <row r="148" spans="1:7" x14ac:dyDescent="0.25">
      <c r="A148" t="s">
        <v>720</v>
      </c>
      <c r="B148" t="s">
        <v>573</v>
      </c>
      <c r="C148" t="s">
        <v>574</v>
      </c>
      <c r="D148" t="s">
        <v>575</v>
      </c>
    </row>
    <row r="149" spans="1:7" x14ac:dyDescent="0.25">
      <c r="A149" t="s">
        <v>720</v>
      </c>
      <c r="B149" t="s">
        <v>576</v>
      </c>
      <c r="C149" t="s">
        <v>577</v>
      </c>
      <c r="D149" t="s">
        <v>578</v>
      </c>
    </row>
    <row r="150" spans="1:7" x14ac:dyDescent="0.25">
      <c r="A150" t="s">
        <v>720</v>
      </c>
      <c r="B150" t="s">
        <v>579</v>
      </c>
      <c r="C150" t="s">
        <v>580</v>
      </c>
      <c r="D150" t="s">
        <v>581</v>
      </c>
    </row>
    <row r="151" spans="1:7" x14ac:dyDescent="0.25">
      <c r="A151" t="s">
        <v>720</v>
      </c>
      <c r="B151" t="s">
        <v>582</v>
      </c>
      <c r="C151" t="s">
        <v>583</v>
      </c>
      <c r="D151" t="s">
        <v>584</v>
      </c>
    </row>
    <row r="152" spans="1:7" x14ac:dyDescent="0.25">
      <c r="A152" t="s">
        <v>720</v>
      </c>
      <c r="B152" t="s">
        <v>585</v>
      </c>
      <c r="C152" t="s">
        <v>586</v>
      </c>
      <c r="D152" t="s">
        <v>587</v>
      </c>
    </row>
    <row r="153" spans="1:7" x14ac:dyDescent="0.25">
      <c r="A153" t="s">
        <v>720</v>
      </c>
      <c r="B153" t="s">
        <v>781</v>
      </c>
      <c r="C153" t="s">
        <v>588</v>
      </c>
      <c r="D153" t="s">
        <v>589</v>
      </c>
    </row>
    <row r="154" spans="1:7" x14ac:dyDescent="0.25">
      <c r="A154" t="s">
        <v>720</v>
      </c>
      <c r="B154" t="s">
        <v>782</v>
      </c>
      <c r="C154" t="s">
        <v>590</v>
      </c>
      <c r="D154" t="s">
        <v>591</v>
      </c>
    </row>
    <row r="155" spans="1:7" x14ac:dyDescent="0.25">
      <c r="A155" t="s">
        <v>720</v>
      </c>
      <c r="B155" t="s">
        <v>783</v>
      </c>
      <c r="C155" t="s">
        <v>592</v>
      </c>
      <c r="D155" t="s">
        <v>593</v>
      </c>
    </row>
    <row r="156" spans="1:7" x14ac:dyDescent="0.25">
      <c r="A156" t="s">
        <v>720</v>
      </c>
      <c r="B156" t="s">
        <v>784</v>
      </c>
      <c r="C156" t="s">
        <v>594</v>
      </c>
      <c r="D156" t="s">
        <v>595</v>
      </c>
    </row>
    <row r="157" spans="1:7" x14ac:dyDescent="0.25">
      <c r="A157" t="s">
        <v>720</v>
      </c>
      <c r="B157" t="s">
        <v>785</v>
      </c>
      <c r="C157" t="s">
        <v>596</v>
      </c>
      <c r="D157" t="s">
        <v>597</v>
      </c>
    </row>
    <row r="158" spans="1:7" x14ac:dyDescent="0.25">
      <c r="A158" t="s">
        <v>720</v>
      </c>
      <c r="B158" t="s">
        <v>786</v>
      </c>
      <c r="C158" t="s">
        <v>598</v>
      </c>
      <c r="D158" t="s">
        <v>599</v>
      </c>
    </row>
    <row r="159" spans="1:7" x14ac:dyDescent="0.25">
      <c r="A159" t="s">
        <v>720</v>
      </c>
      <c r="B159" t="s">
        <v>787</v>
      </c>
      <c r="C159" t="s">
        <v>598</v>
      </c>
      <c r="D159" t="s">
        <v>599</v>
      </c>
    </row>
    <row r="160" spans="1:7" x14ac:dyDescent="0.25">
      <c r="A160" t="s">
        <v>720</v>
      </c>
      <c r="B160" t="s">
        <v>788</v>
      </c>
      <c r="C160" t="s">
        <v>600</v>
      </c>
      <c r="D160" t="s">
        <v>601</v>
      </c>
    </row>
    <row r="161" spans="1:7" x14ac:dyDescent="0.25">
      <c r="A161" t="s">
        <v>720</v>
      </c>
      <c r="B161" t="s">
        <v>789</v>
      </c>
      <c r="C161" t="s">
        <v>602</v>
      </c>
      <c r="D161" t="s">
        <v>603</v>
      </c>
    </row>
    <row r="162" spans="1:7" x14ac:dyDescent="0.25">
      <c r="A162" t="s">
        <v>720</v>
      </c>
      <c r="B162" t="s">
        <v>790</v>
      </c>
      <c r="C162" t="s">
        <v>604</v>
      </c>
      <c r="D162" t="s">
        <v>605</v>
      </c>
    </row>
    <row r="163" spans="1:7" x14ac:dyDescent="0.25">
      <c r="A163" t="s">
        <v>720</v>
      </c>
      <c r="B163" t="s">
        <v>606</v>
      </c>
      <c r="C163" t="s">
        <v>607</v>
      </c>
      <c r="D163" t="s">
        <v>608</v>
      </c>
    </row>
    <row r="164" spans="1:7" x14ac:dyDescent="0.25">
      <c r="A164" t="s">
        <v>720</v>
      </c>
      <c r="B164" t="s">
        <v>609</v>
      </c>
      <c r="C164" t="s">
        <v>610</v>
      </c>
      <c r="D164" t="s">
        <v>611</v>
      </c>
    </row>
    <row r="165" spans="1:7" x14ac:dyDescent="0.25">
      <c r="A165" t="s">
        <v>720</v>
      </c>
      <c r="B165" t="s">
        <v>612</v>
      </c>
      <c r="C165" t="s">
        <v>613</v>
      </c>
      <c r="D165" t="s">
        <v>614</v>
      </c>
      <c r="E165">
        <v>-40</v>
      </c>
      <c r="F165">
        <v>6514</v>
      </c>
      <c r="G165" t="s">
        <v>31</v>
      </c>
    </row>
    <row r="166" spans="1:7" x14ac:dyDescent="0.25">
      <c r="A166" t="s">
        <v>720</v>
      </c>
      <c r="B166" t="s">
        <v>615</v>
      </c>
      <c r="C166" t="s">
        <v>616</v>
      </c>
      <c r="D166" t="s">
        <v>617</v>
      </c>
    </row>
    <row r="167" spans="1:7" x14ac:dyDescent="0.25">
      <c r="A167" t="s">
        <v>720</v>
      </c>
      <c r="B167" t="s">
        <v>618</v>
      </c>
      <c r="C167" t="s">
        <v>619</v>
      </c>
      <c r="D167" t="s">
        <v>620</v>
      </c>
    </row>
    <row r="168" spans="1:7" x14ac:dyDescent="0.25">
      <c r="A168" t="s">
        <v>720</v>
      </c>
      <c r="B168" t="s">
        <v>621</v>
      </c>
      <c r="C168" t="s">
        <v>622</v>
      </c>
      <c r="D168" t="s">
        <v>623</v>
      </c>
      <c r="G168" t="s">
        <v>61</v>
      </c>
    </row>
    <row r="169" spans="1:7" x14ac:dyDescent="0.25">
      <c r="A169" t="s">
        <v>720</v>
      </c>
      <c r="B169" t="s">
        <v>791</v>
      </c>
      <c r="C169" t="s">
        <v>624</v>
      </c>
      <c r="D169" t="s">
        <v>625</v>
      </c>
      <c r="G169" t="s">
        <v>237</v>
      </c>
    </row>
    <row r="170" spans="1:7" x14ac:dyDescent="0.25">
      <c r="A170" t="s">
        <v>720</v>
      </c>
      <c r="B170" t="s">
        <v>792</v>
      </c>
      <c r="C170" t="s">
        <v>626</v>
      </c>
      <c r="D170" t="s">
        <v>627</v>
      </c>
    </row>
    <row r="171" spans="1:7" x14ac:dyDescent="0.25">
      <c r="A171" t="s">
        <v>720</v>
      </c>
      <c r="B171" t="s">
        <v>793</v>
      </c>
      <c r="C171" t="s">
        <v>626</v>
      </c>
      <c r="D171" t="s">
        <v>627</v>
      </c>
    </row>
    <row r="172" spans="1:7" x14ac:dyDescent="0.25">
      <c r="A172" t="s">
        <v>720</v>
      </c>
      <c r="B172" t="s">
        <v>794</v>
      </c>
      <c r="C172" t="s">
        <v>628</v>
      </c>
      <c r="D172" t="s">
        <v>629</v>
      </c>
    </row>
    <row r="173" spans="1:7" x14ac:dyDescent="0.25">
      <c r="A173" t="s">
        <v>720</v>
      </c>
      <c r="B173" t="s">
        <v>795</v>
      </c>
      <c r="C173" t="s">
        <v>630</v>
      </c>
      <c r="D173" t="s">
        <v>631</v>
      </c>
    </row>
    <row r="174" spans="1:7" x14ac:dyDescent="0.25">
      <c r="A174" t="s">
        <v>720</v>
      </c>
      <c r="B174" t="s">
        <v>796</v>
      </c>
      <c r="C174" t="s">
        <v>632</v>
      </c>
      <c r="D174" t="s">
        <v>633</v>
      </c>
    </row>
    <row r="175" spans="1:7" x14ac:dyDescent="0.25">
      <c r="A175" t="s">
        <v>720</v>
      </c>
      <c r="B175" t="s">
        <v>797</v>
      </c>
      <c r="C175" t="s">
        <v>634</v>
      </c>
      <c r="D175" t="s">
        <v>635</v>
      </c>
    </row>
    <row r="176" spans="1:7" x14ac:dyDescent="0.25">
      <c r="A176" t="s">
        <v>720</v>
      </c>
      <c r="B176" t="s">
        <v>798</v>
      </c>
      <c r="C176" t="s">
        <v>636</v>
      </c>
      <c r="D176" t="s">
        <v>269</v>
      </c>
    </row>
    <row r="177" spans="1:7" x14ac:dyDescent="0.25">
      <c r="A177" t="s">
        <v>720</v>
      </c>
      <c r="B177" t="s">
        <v>799</v>
      </c>
      <c r="C177" t="s">
        <v>637</v>
      </c>
      <c r="D177" t="s">
        <v>638</v>
      </c>
    </row>
    <row r="178" spans="1:7" x14ac:dyDescent="0.25">
      <c r="A178" t="s">
        <v>720</v>
      </c>
      <c r="B178" t="s">
        <v>800</v>
      </c>
      <c r="C178" t="s">
        <v>639</v>
      </c>
      <c r="D178" t="s">
        <v>640</v>
      </c>
    </row>
    <row r="179" spans="1:7" x14ac:dyDescent="0.25">
      <c r="A179" t="s">
        <v>720</v>
      </c>
      <c r="B179" t="s">
        <v>641</v>
      </c>
      <c r="C179" t="s">
        <v>642</v>
      </c>
      <c r="D179" t="s">
        <v>643</v>
      </c>
    </row>
    <row r="180" spans="1:7" x14ac:dyDescent="0.25">
      <c r="A180" t="s">
        <v>720</v>
      </c>
      <c r="B180" t="s">
        <v>644</v>
      </c>
      <c r="C180" t="s">
        <v>645</v>
      </c>
      <c r="D180" t="s">
        <v>646</v>
      </c>
    </row>
    <row r="181" spans="1:7" x14ac:dyDescent="0.25">
      <c r="A181" t="s">
        <v>720</v>
      </c>
      <c r="B181" t="s">
        <v>647</v>
      </c>
      <c r="C181" t="s">
        <v>648</v>
      </c>
      <c r="D181" t="s">
        <v>649</v>
      </c>
    </row>
    <row r="182" spans="1:7" x14ac:dyDescent="0.25">
      <c r="A182" t="s">
        <v>720</v>
      </c>
      <c r="B182" t="s">
        <v>650</v>
      </c>
      <c r="C182" t="s">
        <v>651</v>
      </c>
      <c r="D182" t="s">
        <v>652</v>
      </c>
      <c r="E182">
        <v>0</v>
      </c>
      <c r="F182">
        <v>100</v>
      </c>
      <c r="G182" t="s">
        <v>29</v>
      </c>
    </row>
    <row r="183" spans="1:7" x14ac:dyDescent="0.25">
      <c r="A183" t="s">
        <v>720</v>
      </c>
      <c r="B183" t="s">
        <v>653</v>
      </c>
      <c r="C183" t="s">
        <v>654</v>
      </c>
      <c r="D183" t="s">
        <v>655</v>
      </c>
      <c r="E183">
        <v>-125</v>
      </c>
      <c r="F183">
        <v>130</v>
      </c>
      <c r="G183" t="s">
        <v>29</v>
      </c>
    </row>
    <row r="184" spans="1:7" x14ac:dyDescent="0.25">
      <c r="A184" t="s">
        <v>720</v>
      </c>
      <c r="B184" t="s">
        <v>656</v>
      </c>
      <c r="C184" t="s">
        <v>657</v>
      </c>
      <c r="D184" t="s">
        <v>658</v>
      </c>
    </row>
    <row r="185" spans="1:7" x14ac:dyDescent="0.25">
      <c r="A185" t="s">
        <v>720</v>
      </c>
      <c r="B185" t="s">
        <v>801</v>
      </c>
      <c r="C185" t="s">
        <v>659</v>
      </c>
      <c r="D185" t="s">
        <v>660</v>
      </c>
      <c r="G185" t="s">
        <v>661</v>
      </c>
    </row>
    <row r="186" spans="1:7" x14ac:dyDescent="0.25">
      <c r="A186" t="s">
        <v>720</v>
      </c>
      <c r="B186" t="s">
        <v>802</v>
      </c>
      <c r="C186" t="s">
        <v>659</v>
      </c>
      <c r="D186" t="s">
        <v>660</v>
      </c>
      <c r="G186" t="s">
        <v>661</v>
      </c>
    </row>
    <row r="187" spans="1:7" x14ac:dyDescent="0.25">
      <c r="A187" t="s">
        <v>720</v>
      </c>
      <c r="B187" t="s">
        <v>803</v>
      </c>
      <c r="C187" t="s">
        <v>662</v>
      </c>
      <c r="D187" t="s">
        <v>663</v>
      </c>
    </row>
    <row r="188" spans="1:7" x14ac:dyDescent="0.25">
      <c r="A188" t="s">
        <v>720</v>
      </c>
      <c r="B188" t="s">
        <v>804</v>
      </c>
      <c r="C188" t="s">
        <v>664</v>
      </c>
      <c r="D188" t="s">
        <v>665</v>
      </c>
      <c r="G188" t="s">
        <v>661</v>
      </c>
    </row>
    <row r="189" spans="1:7" x14ac:dyDescent="0.25">
      <c r="A189" t="s">
        <v>720</v>
      </c>
      <c r="B189" t="s">
        <v>805</v>
      </c>
      <c r="C189" t="s">
        <v>666</v>
      </c>
      <c r="D189" t="s">
        <v>667</v>
      </c>
    </row>
    <row r="190" spans="1:7" x14ac:dyDescent="0.25">
      <c r="A190" t="s">
        <v>720</v>
      </c>
      <c r="B190" t="s">
        <v>806</v>
      </c>
      <c r="C190" t="s">
        <v>668</v>
      </c>
      <c r="D190" t="s">
        <v>669</v>
      </c>
    </row>
    <row r="191" spans="1:7" x14ac:dyDescent="0.25">
      <c r="A191" t="s">
        <v>720</v>
      </c>
      <c r="B191" t="s">
        <v>807</v>
      </c>
      <c r="C191" t="s">
        <v>668</v>
      </c>
      <c r="D191" t="s">
        <v>669</v>
      </c>
    </row>
    <row r="192" spans="1:7" x14ac:dyDescent="0.25">
      <c r="A192" t="s">
        <v>720</v>
      </c>
      <c r="B192" t="s">
        <v>670</v>
      </c>
      <c r="C192" t="s">
        <v>671</v>
      </c>
      <c r="D192" t="s">
        <v>672</v>
      </c>
    </row>
    <row r="193" spans="1:7" x14ac:dyDescent="0.25">
      <c r="A193" t="s">
        <v>720</v>
      </c>
      <c r="B193" t="s">
        <v>673</v>
      </c>
      <c r="C193" t="s">
        <v>674</v>
      </c>
      <c r="D193" t="s">
        <v>675</v>
      </c>
    </row>
    <row r="194" spans="1:7" x14ac:dyDescent="0.25">
      <c r="A194" t="s">
        <v>720</v>
      </c>
      <c r="B194" t="s">
        <v>676</v>
      </c>
      <c r="C194" t="s">
        <v>677</v>
      </c>
      <c r="D194" t="s">
        <v>678</v>
      </c>
    </row>
    <row r="195" spans="1:7" x14ac:dyDescent="0.25">
      <c r="A195" t="s">
        <v>720</v>
      </c>
      <c r="B195" t="s">
        <v>679</v>
      </c>
      <c r="C195" t="s">
        <v>524</v>
      </c>
      <c r="D195" t="s">
        <v>525</v>
      </c>
      <c r="G195" t="s">
        <v>117</v>
      </c>
    </row>
    <row r="196" spans="1:7" x14ac:dyDescent="0.25">
      <c r="A196" t="s">
        <v>720</v>
      </c>
      <c r="B196" t="s">
        <v>680</v>
      </c>
      <c r="C196" t="s">
        <v>681</v>
      </c>
      <c r="D196" t="s">
        <v>682</v>
      </c>
      <c r="G196" t="s">
        <v>683</v>
      </c>
    </row>
    <row r="197" spans="1:7" x14ac:dyDescent="0.25">
      <c r="A197" t="s">
        <v>720</v>
      </c>
      <c r="B197" t="s">
        <v>684</v>
      </c>
      <c r="C197" t="s">
        <v>685</v>
      </c>
      <c r="D197" t="s">
        <v>686</v>
      </c>
    </row>
    <row r="198" spans="1:7" x14ac:dyDescent="0.25">
      <c r="A198" t="s">
        <v>720</v>
      </c>
      <c r="B198" t="s">
        <v>687</v>
      </c>
      <c r="C198" t="s">
        <v>688</v>
      </c>
      <c r="D198" t="s">
        <v>689</v>
      </c>
      <c r="G198" t="s">
        <v>237</v>
      </c>
    </row>
    <row r="199" spans="1:7" x14ac:dyDescent="0.25">
      <c r="A199" t="s">
        <v>720</v>
      </c>
      <c r="B199" t="s">
        <v>690</v>
      </c>
      <c r="C199" t="s">
        <v>691</v>
      </c>
      <c r="D199" t="s">
        <v>692</v>
      </c>
      <c r="G199" t="s">
        <v>693</v>
      </c>
    </row>
    <row r="200" spans="1:7" x14ac:dyDescent="0.25">
      <c r="A200" t="s">
        <v>720</v>
      </c>
      <c r="B200" t="s">
        <v>694</v>
      </c>
      <c r="C200" t="s">
        <v>695</v>
      </c>
      <c r="D200" t="s">
        <v>696</v>
      </c>
      <c r="E200">
        <v>0</v>
      </c>
      <c r="F200">
        <v>2048</v>
      </c>
      <c r="G200" t="s">
        <v>697</v>
      </c>
    </row>
    <row r="201" spans="1:7" x14ac:dyDescent="0.25">
      <c r="A201" t="s">
        <v>720</v>
      </c>
      <c r="B201" t="s">
        <v>698</v>
      </c>
      <c r="C201" t="s">
        <v>699</v>
      </c>
      <c r="D201" t="s">
        <v>489</v>
      </c>
    </row>
    <row r="202" spans="1:7" x14ac:dyDescent="0.25">
      <c r="A202" t="s">
        <v>720</v>
      </c>
      <c r="B202" t="s">
        <v>700</v>
      </c>
      <c r="C202" t="s">
        <v>701</v>
      </c>
      <c r="D202" t="s">
        <v>702</v>
      </c>
      <c r="E202">
        <v>0</v>
      </c>
      <c r="F202">
        <v>66</v>
      </c>
      <c r="G202" t="s">
        <v>68</v>
      </c>
    </row>
    <row r="203" spans="1:7" x14ac:dyDescent="0.25">
      <c r="A203" t="s">
        <v>720</v>
      </c>
      <c r="B203" t="s">
        <v>703</v>
      </c>
      <c r="C203" t="s">
        <v>704</v>
      </c>
      <c r="D203" t="s">
        <v>705</v>
      </c>
      <c r="E203">
        <v>0</v>
      </c>
      <c r="F203">
        <v>128</v>
      </c>
      <c r="G203" t="s">
        <v>29</v>
      </c>
    </row>
    <row r="204" spans="1:7" x14ac:dyDescent="0.25">
      <c r="A204" t="s">
        <v>720</v>
      </c>
      <c r="B204" t="s">
        <v>707</v>
      </c>
      <c r="C204" t="s">
        <v>708</v>
      </c>
      <c r="D204" t="s">
        <v>708</v>
      </c>
      <c r="E204">
        <v>0</v>
      </c>
      <c r="F204" s="3">
        <v>429000000</v>
      </c>
      <c r="G204" t="s">
        <v>64</v>
      </c>
    </row>
    <row r="205" spans="1:7" x14ac:dyDescent="0.25">
      <c r="A205" t="s">
        <v>720</v>
      </c>
      <c r="B205" t="s">
        <v>710</v>
      </c>
      <c r="C205" t="s">
        <v>711</v>
      </c>
      <c r="D205" t="s">
        <v>712</v>
      </c>
    </row>
    <row r="206" spans="1:7" x14ac:dyDescent="0.25">
      <c r="A206" t="s">
        <v>720</v>
      </c>
      <c r="B206" t="s">
        <v>713</v>
      </c>
      <c r="C206" t="s">
        <v>714</v>
      </c>
      <c r="D206" t="s">
        <v>715</v>
      </c>
    </row>
    <row r="207" spans="1:7" x14ac:dyDescent="0.25">
      <c r="A207" t="s">
        <v>720</v>
      </c>
      <c r="B207" t="s">
        <v>716</v>
      </c>
      <c r="C207" t="s">
        <v>717</v>
      </c>
      <c r="D207" t="s">
        <v>718</v>
      </c>
      <c r="G207" t="s">
        <v>237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A988-AEDB-48D7-BB90-E10690B36E46}">
  <dimension ref="A1:C1"/>
  <sheetViews>
    <sheetView workbookViewId="0">
      <selection activeCell="E24" sqref="E24"/>
    </sheetView>
  </sheetViews>
  <sheetFormatPr defaultRowHeight="15" x14ac:dyDescent="0.25"/>
  <cols>
    <col min="1" max="1" width="10.5703125" bestFit="1" customWidth="1"/>
    <col min="2" max="2" width="14.140625" bestFit="1" customWidth="1"/>
  </cols>
  <sheetData>
    <row r="1" spans="1:3" x14ac:dyDescent="0.25">
      <c r="A1" t="s">
        <v>4</v>
      </c>
      <c r="B1" t="s">
        <v>5</v>
      </c>
      <c r="C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29EE-96F3-4750-B535-8523B5E4E799}">
  <dimension ref="A1:H11"/>
  <sheetViews>
    <sheetView workbookViewId="0">
      <selection activeCell="B2" sqref="B2:C11"/>
    </sheetView>
  </sheetViews>
  <sheetFormatPr defaultRowHeight="15" x14ac:dyDescent="0.25"/>
  <cols>
    <col min="1" max="1" width="19.7109375" bestFit="1" customWidth="1"/>
    <col min="6" max="6" width="18.2851562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808</v>
      </c>
      <c r="B2" t="s">
        <v>821</v>
      </c>
      <c r="C2" t="s">
        <v>825</v>
      </c>
      <c r="D2" t="s">
        <v>818</v>
      </c>
      <c r="E2">
        <v>2016</v>
      </c>
      <c r="F2" t="s">
        <v>840</v>
      </c>
      <c r="G2" t="s">
        <v>837</v>
      </c>
      <c r="H2" t="b">
        <v>1</v>
      </c>
    </row>
    <row r="3" spans="1:8" x14ac:dyDescent="0.25">
      <c r="A3" t="s">
        <v>809</v>
      </c>
      <c r="B3" t="s">
        <v>822</v>
      </c>
      <c r="C3" t="s">
        <v>826</v>
      </c>
      <c r="D3" t="s">
        <v>819</v>
      </c>
      <c r="E3">
        <v>2017</v>
      </c>
      <c r="F3" t="s">
        <v>841</v>
      </c>
      <c r="G3" t="s">
        <v>838</v>
      </c>
      <c r="H3" t="b">
        <v>1</v>
      </c>
    </row>
    <row r="4" spans="1:8" x14ac:dyDescent="0.25">
      <c r="A4" t="s">
        <v>810</v>
      </c>
      <c r="B4" t="s">
        <v>823</v>
      </c>
      <c r="C4" t="s">
        <v>827</v>
      </c>
      <c r="D4" t="s">
        <v>820</v>
      </c>
      <c r="E4">
        <v>2017</v>
      </c>
      <c r="G4" t="s">
        <v>839</v>
      </c>
      <c r="H4" t="b">
        <v>1</v>
      </c>
    </row>
    <row r="5" spans="1:8" x14ac:dyDescent="0.25">
      <c r="A5" t="s">
        <v>811</v>
      </c>
      <c r="B5" t="s">
        <v>824</v>
      </c>
      <c r="C5" t="s">
        <v>828</v>
      </c>
      <c r="D5" t="s">
        <v>818</v>
      </c>
      <c r="E5">
        <v>2018</v>
      </c>
      <c r="H5" t="b">
        <v>0</v>
      </c>
    </row>
    <row r="6" spans="1:8" x14ac:dyDescent="0.25">
      <c r="A6" t="s">
        <v>812</v>
      </c>
      <c r="B6" t="s">
        <v>831</v>
      </c>
      <c r="C6" t="s">
        <v>832</v>
      </c>
      <c r="D6" t="s">
        <v>819</v>
      </c>
      <c r="E6">
        <v>2018</v>
      </c>
      <c r="H6" t="b">
        <v>0</v>
      </c>
    </row>
    <row r="7" spans="1:8" x14ac:dyDescent="0.25">
      <c r="A7" t="s">
        <v>813</v>
      </c>
      <c r="B7" t="s">
        <v>821</v>
      </c>
      <c r="C7" t="s">
        <v>836</v>
      </c>
      <c r="D7" t="s">
        <v>820</v>
      </c>
      <c r="E7">
        <v>2019</v>
      </c>
      <c r="H7" t="b">
        <v>0</v>
      </c>
    </row>
    <row r="8" spans="1:8" x14ac:dyDescent="0.25">
      <c r="A8" t="s">
        <v>814</v>
      </c>
      <c r="B8" t="s">
        <v>822</v>
      </c>
      <c r="C8" t="s">
        <v>834</v>
      </c>
      <c r="D8" t="s">
        <v>818</v>
      </c>
      <c r="E8">
        <v>2019</v>
      </c>
      <c r="H8" t="b">
        <v>1</v>
      </c>
    </row>
    <row r="9" spans="1:8" x14ac:dyDescent="0.25">
      <c r="A9" t="s">
        <v>815</v>
      </c>
      <c r="B9" t="s">
        <v>823</v>
      </c>
      <c r="C9" t="s">
        <v>835</v>
      </c>
      <c r="D9" t="s">
        <v>819</v>
      </c>
      <c r="E9">
        <v>2020</v>
      </c>
      <c r="H9" t="b">
        <v>1</v>
      </c>
    </row>
    <row r="10" spans="1:8" x14ac:dyDescent="0.25">
      <c r="A10" t="s">
        <v>817</v>
      </c>
      <c r="B10" t="s">
        <v>824</v>
      </c>
      <c r="C10" t="s">
        <v>829</v>
      </c>
      <c r="D10" t="s">
        <v>820</v>
      </c>
      <c r="E10">
        <v>2020</v>
      </c>
      <c r="H10" t="b">
        <v>1</v>
      </c>
    </row>
    <row r="11" spans="1:8" x14ac:dyDescent="0.25">
      <c r="A11" t="s">
        <v>816</v>
      </c>
      <c r="B11" t="s">
        <v>830</v>
      </c>
      <c r="C11" t="s">
        <v>833</v>
      </c>
      <c r="D11" t="s">
        <v>820</v>
      </c>
      <c r="E11">
        <v>2021</v>
      </c>
      <c r="H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0268-06AA-4247-9456-F478590134B2}">
  <dimension ref="A1:H156"/>
  <sheetViews>
    <sheetView workbookViewId="0">
      <selection activeCell="I17" sqref="I17"/>
    </sheetView>
  </sheetViews>
  <sheetFormatPr defaultRowHeight="15" x14ac:dyDescent="0.25"/>
  <cols>
    <col min="1" max="1" width="38.28515625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H1" t="s">
        <v>221</v>
      </c>
    </row>
    <row r="2" spans="1:8" x14ac:dyDescent="0.25">
      <c r="A2" t="s">
        <v>18</v>
      </c>
      <c r="B2">
        <v>0</v>
      </c>
      <c r="C2">
        <v>255</v>
      </c>
      <c r="D2" t="s">
        <v>19</v>
      </c>
    </row>
    <row r="3" spans="1:8" x14ac:dyDescent="0.25">
      <c r="A3" t="s">
        <v>20</v>
      </c>
      <c r="B3">
        <v>0</v>
      </c>
      <c r="C3">
        <v>15</v>
      </c>
      <c r="D3" t="s">
        <v>19</v>
      </c>
    </row>
    <row r="4" spans="1:8" x14ac:dyDescent="0.25">
      <c r="A4" t="s">
        <v>21</v>
      </c>
      <c r="B4">
        <v>0</v>
      </c>
      <c r="C4">
        <v>15</v>
      </c>
      <c r="D4" t="s">
        <v>19</v>
      </c>
    </row>
    <row r="5" spans="1:8" x14ac:dyDescent="0.25">
      <c r="A5" t="s">
        <v>22</v>
      </c>
      <c r="B5">
        <v>0</v>
      </c>
      <c r="C5">
        <v>255</v>
      </c>
      <c r="D5" t="s">
        <v>19</v>
      </c>
    </row>
    <row r="6" spans="1:8" x14ac:dyDescent="0.25">
      <c r="A6" t="s">
        <v>23</v>
      </c>
      <c r="B6">
        <v>0</v>
      </c>
      <c r="C6">
        <v>255</v>
      </c>
      <c r="D6" t="s">
        <v>19</v>
      </c>
    </row>
    <row r="7" spans="1:8" x14ac:dyDescent="0.25">
      <c r="A7" s="1" t="s">
        <v>24</v>
      </c>
      <c r="B7">
        <v>0</v>
      </c>
      <c r="C7">
        <v>-1</v>
      </c>
      <c r="D7" t="s">
        <v>19</v>
      </c>
      <c r="E7" t="str">
        <f t="shared" ref="E7:E15" si="0">MID(A7,1,2)</f>
        <v>S1</v>
      </c>
      <c r="F7" t="str">
        <f>MID(A7,4,6)</f>
        <v>PID_00</v>
      </c>
      <c r="H7" t="str">
        <f>RIGHT(A7, LEN(A7)-10)</f>
        <v>PIDsSupported_01_20</v>
      </c>
    </row>
    <row r="8" spans="1:8" x14ac:dyDescent="0.25">
      <c r="A8" t="s">
        <v>25</v>
      </c>
      <c r="B8">
        <v>0</v>
      </c>
      <c r="C8">
        <v>-1</v>
      </c>
      <c r="D8" t="s">
        <v>19</v>
      </c>
      <c r="E8" t="str">
        <f t="shared" si="0"/>
        <v>S1</v>
      </c>
      <c r="F8" t="str">
        <f t="shared" ref="F8:F71" si="1">MID(A8,4,6)</f>
        <v>PID_01</v>
      </c>
      <c r="H8" t="str">
        <f t="shared" ref="H8:H71" si="2">RIGHT(A8, LEN(A8)-10)</f>
        <v>MonitorStatus</v>
      </c>
    </row>
    <row r="9" spans="1:8" x14ac:dyDescent="0.25">
      <c r="A9" t="s">
        <v>26</v>
      </c>
      <c r="B9">
        <v>0</v>
      </c>
      <c r="C9">
        <v>65535</v>
      </c>
      <c r="D9" t="s">
        <v>19</v>
      </c>
      <c r="E9" t="str">
        <f t="shared" si="0"/>
        <v>S1</v>
      </c>
      <c r="F9" t="str">
        <f t="shared" si="1"/>
        <v>PID_02</v>
      </c>
      <c r="H9" t="str">
        <f t="shared" si="2"/>
        <v>FreezeDTC</v>
      </c>
    </row>
    <row r="10" spans="1:8" x14ac:dyDescent="0.25">
      <c r="A10" t="s">
        <v>27</v>
      </c>
      <c r="B10">
        <v>0</v>
      </c>
      <c r="C10">
        <v>65535</v>
      </c>
      <c r="D10" t="s">
        <v>19</v>
      </c>
      <c r="E10" t="str">
        <f t="shared" si="0"/>
        <v>S1</v>
      </c>
      <c r="F10" t="str">
        <f t="shared" si="1"/>
        <v>PID_03</v>
      </c>
      <c r="H10" t="str">
        <f t="shared" si="2"/>
        <v>FuelSystemStatus</v>
      </c>
    </row>
    <row r="11" spans="1:8" x14ac:dyDescent="0.25">
      <c r="A11" t="s">
        <v>28</v>
      </c>
      <c r="B11">
        <v>0</v>
      </c>
      <c r="C11">
        <v>100</v>
      </c>
      <c r="D11" t="s">
        <v>29</v>
      </c>
      <c r="E11" t="str">
        <f t="shared" si="0"/>
        <v>S1</v>
      </c>
      <c r="F11" t="str">
        <f t="shared" si="1"/>
        <v>PID_04</v>
      </c>
      <c r="H11" t="str">
        <f t="shared" si="2"/>
        <v>CalcEngineLoad</v>
      </c>
    </row>
    <row r="12" spans="1:8" x14ac:dyDescent="0.25">
      <c r="A12" t="s">
        <v>30</v>
      </c>
      <c r="B12">
        <v>-40</v>
      </c>
      <c r="C12">
        <v>215</v>
      </c>
      <c r="D12" t="s">
        <v>31</v>
      </c>
      <c r="E12" t="str">
        <f t="shared" si="0"/>
        <v>S1</v>
      </c>
      <c r="F12" t="str">
        <f t="shared" si="1"/>
        <v>PID_05</v>
      </c>
      <c r="H12" t="str">
        <f t="shared" si="2"/>
        <v>EngineCoolantTemp</v>
      </c>
    </row>
    <row r="13" spans="1:8" x14ac:dyDescent="0.25">
      <c r="A13" t="s">
        <v>32</v>
      </c>
      <c r="B13">
        <v>-100</v>
      </c>
      <c r="C13">
        <v>99.21875</v>
      </c>
      <c r="D13" t="s">
        <v>29</v>
      </c>
      <c r="E13" t="str">
        <f t="shared" si="0"/>
        <v>S1</v>
      </c>
      <c r="F13" t="str">
        <f t="shared" si="1"/>
        <v>PID_06</v>
      </c>
      <c r="H13" t="str">
        <f t="shared" si="2"/>
        <v>ShortFuelTrimBank1</v>
      </c>
    </row>
    <row r="14" spans="1:8" x14ac:dyDescent="0.25">
      <c r="A14" t="s">
        <v>33</v>
      </c>
      <c r="B14">
        <v>-100</v>
      </c>
      <c r="C14">
        <v>99.21875</v>
      </c>
      <c r="D14" t="s">
        <v>29</v>
      </c>
      <c r="E14" t="str">
        <f t="shared" si="0"/>
        <v>S1</v>
      </c>
      <c r="F14" t="str">
        <f t="shared" si="1"/>
        <v>PID_07</v>
      </c>
      <c r="H14" t="str">
        <f t="shared" si="2"/>
        <v>LongFuelTrimBank1</v>
      </c>
    </row>
    <row r="15" spans="1:8" x14ac:dyDescent="0.25">
      <c r="A15" t="s">
        <v>34</v>
      </c>
      <c r="B15">
        <v>-100</v>
      </c>
      <c r="C15">
        <v>99.21875</v>
      </c>
      <c r="D15" t="s">
        <v>29</v>
      </c>
      <c r="E15" t="str">
        <f t="shared" si="0"/>
        <v>S1</v>
      </c>
      <c r="F15" t="str">
        <f t="shared" si="1"/>
        <v>PID_08</v>
      </c>
      <c r="H15" t="str">
        <f t="shared" si="2"/>
        <v>ShortFuelTrimBank2</v>
      </c>
    </row>
    <row r="16" spans="1:8" x14ac:dyDescent="0.25">
      <c r="A16" t="s">
        <v>35</v>
      </c>
      <c r="B16">
        <v>-100</v>
      </c>
      <c r="C16">
        <v>99.21875</v>
      </c>
      <c r="D16" t="s">
        <v>29</v>
      </c>
      <c r="E16" t="str">
        <f>MID(A16,1,2)</f>
        <v>S1</v>
      </c>
      <c r="F16" t="str">
        <f t="shared" si="1"/>
        <v>PID_09</v>
      </c>
      <c r="H16" t="str">
        <f t="shared" si="2"/>
        <v>LongFuelTrimBank2</v>
      </c>
    </row>
    <row r="17" spans="1:8" x14ac:dyDescent="0.25">
      <c r="A17" t="s">
        <v>36</v>
      </c>
      <c r="B17">
        <v>0</v>
      </c>
      <c r="C17">
        <v>765</v>
      </c>
      <c r="D17" t="s">
        <v>37</v>
      </c>
      <c r="E17" t="str">
        <f t="shared" ref="E17:E80" si="3">MID(A17,1,2)</f>
        <v>S1</v>
      </c>
      <c r="F17" t="str">
        <f t="shared" si="1"/>
        <v>PID_0A</v>
      </c>
      <c r="H17" t="str">
        <f t="shared" si="2"/>
        <v>FuelPressure</v>
      </c>
    </row>
    <row r="18" spans="1:8" x14ac:dyDescent="0.25">
      <c r="A18" t="s">
        <v>38</v>
      </c>
      <c r="B18">
        <v>0</v>
      </c>
      <c r="C18">
        <v>255</v>
      </c>
      <c r="D18" t="s">
        <v>37</v>
      </c>
      <c r="E18" t="str">
        <f t="shared" si="3"/>
        <v>S1</v>
      </c>
      <c r="F18" t="str">
        <f t="shared" si="1"/>
        <v>PID_0B</v>
      </c>
      <c r="H18" t="str">
        <f t="shared" si="2"/>
        <v>IntakeManiAbsPress</v>
      </c>
    </row>
    <row r="19" spans="1:8" x14ac:dyDescent="0.25">
      <c r="A19" t="s">
        <v>39</v>
      </c>
      <c r="B19">
        <v>0</v>
      </c>
      <c r="C19">
        <v>16383.75</v>
      </c>
      <c r="D19" t="s">
        <v>40</v>
      </c>
      <c r="E19" t="str">
        <f t="shared" si="3"/>
        <v>S1</v>
      </c>
      <c r="F19" t="str">
        <f t="shared" si="1"/>
        <v>PID_0C</v>
      </c>
      <c r="H19" t="str">
        <f t="shared" si="2"/>
        <v>EngineRPM</v>
      </c>
    </row>
    <row r="20" spans="1:8" x14ac:dyDescent="0.25">
      <c r="A20" t="s">
        <v>41</v>
      </c>
      <c r="B20">
        <v>0</v>
      </c>
      <c r="C20">
        <v>255</v>
      </c>
      <c r="D20" t="s">
        <v>42</v>
      </c>
      <c r="E20" t="str">
        <f t="shared" si="3"/>
        <v>S1</v>
      </c>
      <c r="F20" t="str">
        <f t="shared" si="1"/>
        <v>PID_0D</v>
      </c>
      <c r="H20" t="str">
        <f t="shared" si="2"/>
        <v>VehicleSpeed</v>
      </c>
    </row>
    <row r="21" spans="1:8" x14ac:dyDescent="0.25">
      <c r="A21" t="s">
        <v>43</v>
      </c>
      <c r="B21">
        <v>-64</v>
      </c>
      <c r="C21">
        <v>63.5</v>
      </c>
      <c r="D21" t="s">
        <v>44</v>
      </c>
      <c r="E21" t="str">
        <f t="shared" si="3"/>
        <v>S1</v>
      </c>
      <c r="F21" t="str">
        <f t="shared" si="1"/>
        <v>PID_0E</v>
      </c>
      <c r="H21" t="str">
        <f t="shared" si="2"/>
        <v>TimingAdvance</v>
      </c>
    </row>
    <row r="22" spans="1:8" x14ac:dyDescent="0.25">
      <c r="A22" t="s">
        <v>45</v>
      </c>
      <c r="B22">
        <v>-40</v>
      </c>
      <c r="C22">
        <v>215</v>
      </c>
      <c r="D22" t="s">
        <v>31</v>
      </c>
      <c r="E22" t="str">
        <f t="shared" si="3"/>
        <v>S1</v>
      </c>
      <c r="F22" t="str">
        <f t="shared" si="1"/>
        <v>PID_0F</v>
      </c>
      <c r="H22" t="str">
        <f t="shared" si="2"/>
        <v>IntakeAirTemperature</v>
      </c>
    </row>
    <row r="23" spans="1:8" x14ac:dyDescent="0.25">
      <c r="A23" t="s">
        <v>46</v>
      </c>
      <c r="B23">
        <v>0</v>
      </c>
      <c r="C23">
        <v>655.35</v>
      </c>
      <c r="D23" t="s">
        <v>47</v>
      </c>
      <c r="E23" t="str">
        <f t="shared" si="3"/>
        <v>S1</v>
      </c>
      <c r="F23" t="str">
        <f t="shared" si="1"/>
        <v>PID_10</v>
      </c>
      <c r="H23" t="str">
        <f t="shared" si="2"/>
        <v>MAFAirFlowRate</v>
      </c>
    </row>
    <row r="24" spans="1:8" x14ac:dyDescent="0.25">
      <c r="A24" t="s">
        <v>48</v>
      </c>
      <c r="B24">
        <v>0</v>
      </c>
      <c r="C24">
        <v>100</v>
      </c>
      <c r="D24" t="s">
        <v>29</v>
      </c>
      <c r="E24" t="str">
        <f t="shared" si="3"/>
        <v>S1</v>
      </c>
      <c r="F24" t="str">
        <f t="shared" si="1"/>
        <v>PID_11</v>
      </c>
      <c r="H24" t="str">
        <f t="shared" si="2"/>
        <v>ThrottlePosition</v>
      </c>
    </row>
    <row r="25" spans="1:8" x14ac:dyDescent="0.25">
      <c r="A25" t="s">
        <v>49</v>
      </c>
      <c r="B25">
        <v>0</v>
      </c>
      <c r="C25">
        <v>255</v>
      </c>
      <c r="D25" t="s">
        <v>19</v>
      </c>
      <c r="E25" t="str">
        <f t="shared" si="3"/>
        <v>S1</v>
      </c>
      <c r="F25" t="str">
        <f t="shared" si="1"/>
        <v>PID_12</v>
      </c>
      <c r="H25" t="str">
        <f t="shared" si="2"/>
        <v>CmdSecAirStatus</v>
      </c>
    </row>
    <row r="26" spans="1:8" x14ac:dyDescent="0.25">
      <c r="A26" t="s">
        <v>50</v>
      </c>
      <c r="B26">
        <v>0</v>
      </c>
      <c r="C26">
        <v>1.2749999999999999</v>
      </c>
      <c r="D26" t="s">
        <v>51</v>
      </c>
      <c r="E26" t="str">
        <f t="shared" si="3"/>
        <v>S1</v>
      </c>
      <c r="F26" t="str">
        <f t="shared" si="1"/>
        <v>PID_14</v>
      </c>
      <c r="H26" t="str">
        <f t="shared" si="2"/>
        <v>OxySensor1_Volt</v>
      </c>
    </row>
    <row r="27" spans="1:8" x14ac:dyDescent="0.25">
      <c r="A27" t="s">
        <v>52</v>
      </c>
      <c r="B27">
        <v>0</v>
      </c>
      <c r="C27">
        <v>1.2749999999999999</v>
      </c>
      <c r="D27" t="s">
        <v>51</v>
      </c>
      <c r="E27" t="str">
        <f t="shared" si="3"/>
        <v>S1</v>
      </c>
      <c r="F27" t="str">
        <f t="shared" si="1"/>
        <v>PID_15</v>
      </c>
      <c r="H27" t="str">
        <f t="shared" si="2"/>
        <v>OxySensor2_Volt</v>
      </c>
    </row>
    <row r="28" spans="1:8" x14ac:dyDescent="0.25">
      <c r="A28" t="s">
        <v>53</v>
      </c>
      <c r="B28">
        <v>0</v>
      </c>
      <c r="C28">
        <v>1.2749999999999999</v>
      </c>
      <c r="D28" t="s">
        <v>51</v>
      </c>
      <c r="E28" t="str">
        <f t="shared" si="3"/>
        <v>S1</v>
      </c>
      <c r="F28" t="str">
        <f t="shared" si="1"/>
        <v>PID_16</v>
      </c>
      <c r="H28" t="str">
        <f t="shared" si="2"/>
        <v>OxySensor3_Volt</v>
      </c>
    </row>
    <row r="29" spans="1:8" x14ac:dyDescent="0.25">
      <c r="A29" t="s">
        <v>54</v>
      </c>
      <c r="B29">
        <v>0</v>
      </c>
      <c r="C29">
        <v>1.2749999999999999</v>
      </c>
      <c r="D29" t="s">
        <v>51</v>
      </c>
      <c r="E29" t="str">
        <f t="shared" si="3"/>
        <v>S1</v>
      </c>
      <c r="F29" t="str">
        <f t="shared" si="1"/>
        <v>PID_17</v>
      </c>
      <c r="H29" t="str">
        <f t="shared" si="2"/>
        <v>OxySensor4_Volt</v>
      </c>
    </row>
    <row r="30" spans="1:8" x14ac:dyDescent="0.25">
      <c r="A30" t="s">
        <v>55</v>
      </c>
      <c r="B30">
        <v>0</v>
      </c>
      <c r="C30">
        <v>1.2749999999999999</v>
      </c>
      <c r="D30" t="s">
        <v>51</v>
      </c>
      <c r="E30" t="str">
        <f t="shared" si="3"/>
        <v>S1</v>
      </c>
      <c r="F30" t="str">
        <f t="shared" si="1"/>
        <v>PID_18</v>
      </c>
      <c r="H30" t="str">
        <f t="shared" si="2"/>
        <v>OxySensor5_Volt</v>
      </c>
    </row>
    <row r="31" spans="1:8" x14ac:dyDescent="0.25">
      <c r="A31" t="s">
        <v>56</v>
      </c>
      <c r="B31">
        <v>0</v>
      </c>
      <c r="C31">
        <v>1.2749999999999999</v>
      </c>
      <c r="D31" t="s">
        <v>51</v>
      </c>
      <c r="E31" t="str">
        <f t="shared" si="3"/>
        <v>S1</v>
      </c>
      <c r="F31" t="str">
        <f t="shared" si="1"/>
        <v>PID_19</v>
      </c>
      <c r="H31" t="str">
        <f t="shared" si="2"/>
        <v>OxySensor6_Volt</v>
      </c>
    </row>
    <row r="32" spans="1:8" x14ac:dyDescent="0.25">
      <c r="A32" t="s">
        <v>57</v>
      </c>
      <c r="B32">
        <v>0</v>
      </c>
      <c r="C32">
        <v>1.2749999999999999</v>
      </c>
      <c r="D32" t="s">
        <v>51</v>
      </c>
      <c r="E32" t="str">
        <f t="shared" si="3"/>
        <v>S1</v>
      </c>
      <c r="F32" t="str">
        <f t="shared" si="1"/>
        <v>PID_1A</v>
      </c>
      <c r="H32" t="str">
        <f t="shared" si="2"/>
        <v>OxySensor7_Volt</v>
      </c>
    </row>
    <row r="33" spans="1:8" x14ac:dyDescent="0.25">
      <c r="A33" t="s">
        <v>58</v>
      </c>
      <c r="B33">
        <v>0</v>
      </c>
      <c r="C33">
        <v>1.2749999999999999</v>
      </c>
      <c r="D33" t="s">
        <v>51</v>
      </c>
      <c r="E33" t="str">
        <f t="shared" si="3"/>
        <v>S1</v>
      </c>
      <c r="F33" t="str">
        <f t="shared" si="1"/>
        <v>PID_1B</v>
      </c>
      <c r="H33" t="str">
        <f t="shared" si="2"/>
        <v>OxySensor8_Volt</v>
      </c>
    </row>
    <row r="34" spans="1:8" x14ac:dyDescent="0.25">
      <c r="A34" t="s">
        <v>59</v>
      </c>
      <c r="B34">
        <v>0</v>
      </c>
      <c r="C34">
        <v>255</v>
      </c>
      <c r="D34" t="s">
        <v>19</v>
      </c>
      <c r="E34" t="str">
        <f t="shared" si="3"/>
        <v>S1</v>
      </c>
      <c r="F34" t="str">
        <f t="shared" si="1"/>
        <v>PID_1C</v>
      </c>
      <c r="H34" t="str">
        <f t="shared" si="2"/>
        <v>OBDStandard</v>
      </c>
    </row>
    <row r="35" spans="1:8" x14ac:dyDescent="0.25">
      <c r="A35" t="s">
        <v>60</v>
      </c>
      <c r="B35">
        <v>0</v>
      </c>
      <c r="C35">
        <v>65535</v>
      </c>
      <c r="D35" t="s">
        <v>61</v>
      </c>
      <c r="E35" t="str">
        <f t="shared" si="3"/>
        <v>S1</v>
      </c>
      <c r="F35" t="str">
        <f t="shared" si="1"/>
        <v>PID_1F</v>
      </c>
      <c r="H35" t="str">
        <f t="shared" si="2"/>
        <v>TimeSinceEngStart</v>
      </c>
    </row>
    <row r="36" spans="1:8" x14ac:dyDescent="0.25">
      <c r="A36" s="1" t="s">
        <v>62</v>
      </c>
      <c r="B36">
        <v>0</v>
      </c>
      <c r="C36">
        <v>-1</v>
      </c>
      <c r="D36" t="s">
        <v>19</v>
      </c>
      <c r="E36" t="str">
        <f t="shared" si="3"/>
        <v>S1</v>
      </c>
      <c r="F36" t="str">
        <f t="shared" si="1"/>
        <v>PID_20</v>
      </c>
      <c r="H36" t="str">
        <f t="shared" si="2"/>
        <v>PIDsSupported_21_40</v>
      </c>
    </row>
    <row r="37" spans="1:8" x14ac:dyDescent="0.25">
      <c r="A37" t="s">
        <v>63</v>
      </c>
      <c r="B37">
        <v>0</v>
      </c>
      <c r="C37">
        <v>65535</v>
      </c>
      <c r="D37" t="s">
        <v>64</v>
      </c>
      <c r="E37" t="str">
        <f t="shared" si="3"/>
        <v>S1</v>
      </c>
      <c r="F37" t="str">
        <f t="shared" si="1"/>
        <v>PID_21</v>
      </c>
      <c r="H37" t="str">
        <f t="shared" si="2"/>
        <v>DistanceMILOn</v>
      </c>
    </row>
    <row r="38" spans="1:8" x14ac:dyDescent="0.25">
      <c r="A38" t="s">
        <v>65</v>
      </c>
      <c r="B38">
        <v>0</v>
      </c>
      <c r="C38">
        <v>5177.2650000000003</v>
      </c>
      <c r="D38" t="s">
        <v>37</v>
      </c>
      <c r="E38" t="str">
        <f t="shared" si="3"/>
        <v>S1</v>
      </c>
      <c r="F38" t="str">
        <f t="shared" si="1"/>
        <v>PID_22</v>
      </c>
      <c r="H38" t="str">
        <f t="shared" si="2"/>
        <v>FuelRailPres</v>
      </c>
    </row>
    <row r="39" spans="1:8" x14ac:dyDescent="0.25">
      <c r="A39" t="s">
        <v>66</v>
      </c>
      <c r="B39">
        <v>0</v>
      </c>
      <c r="C39">
        <v>655350</v>
      </c>
      <c r="D39" t="s">
        <v>37</v>
      </c>
      <c r="E39" t="str">
        <f t="shared" si="3"/>
        <v>S1</v>
      </c>
      <c r="F39" t="str">
        <f t="shared" si="1"/>
        <v>PID_23</v>
      </c>
      <c r="H39" t="str">
        <f t="shared" si="2"/>
        <v>FuelRailGaug</v>
      </c>
    </row>
    <row r="40" spans="1:8" x14ac:dyDescent="0.25">
      <c r="A40" t="s">
        <v>67</v>
      </c>
      <c r="B40">
        <v>0</v>
      </c>
      <c r="C40">
        <v>2</v>
      </c>
      <c r="D40" t="s">
        <v>68</v>
      </c>
      <c r="E40" t="str">
        <f t="shared" si="3"/>
        <v>S1</v>
      </c>
      <c r="F40" t="str">
        <f t="shared" si="1"/>
        <v>PID_24</v>
      </c>
      <c r="H40" t="str">
        <f t="shared" si="2"/>
        <v>OxySensor1_FAER</v>
      </c>
    </row>
    <row r="41" spans="1:8" x14ac:dyDescent="0.25">
      <c r="A41" t="s">
        <v>69</v>
      </c>
      <c r="B41">
        <v>0</v>
      </c>
      <c r="C41">
        <v>2</v>
      </c>
      <c r="D41" t="s">
        <v>68</v>
      </c>
      <c r="E41" t="str">
        <f t="shared" si="3"/>
        <v>S1</v>
      </c>
      <c r="F41" t="str">
        <f t="shared" si="1"/>
        <v>PID_25</v>
      </c>
      <c r="H41" t="str">
        <f t="shared" si="2"/>
        <v>OxySensor2_FAER</v>
      </c>
    </row>
    <row r="42" spans="1:8" x14ac:dyDescent="0.25">
      <c r="A42" t="s">
        <v>70</v>
      </c>
      <c r="B42">
        <v>0</v>
      </c>
      <c r="C42">
        <v>2</v>
      </c>
      <c r="D42" t="s">
        <v>68</v>
      </c>
      <c r="E42" t="str">
        <f t="shared" si="3"/>
        <v>S1</v>
      </c>
      <c r="F42" t="str">
        <f t="shared" si="1"/>
        <v>PID_26</v>
      </c>
      <c r="H42" t="str">
        <f t="shared" si="2"/>
        <v>OxySensor3_FAER</v>
      </c>
    </row>
    <row r="43" spans="1:8" x14ac:dyDescent="0.25">
      <c r="A43" t="s">
        <v>71</v>
      </c>
      <c r="B43">
        <v>0</v>
      </c>
      <c r="C43">
        <v>2</v>
      </c>
      <c r="D43" t="s">
        <v>68</v>
      </c>
      <c r="E43" t="str">
        <f t="shared" si="3"/>
        <v>S1</v>
      </c>
      <c r="F43" t="str">
        <f t="shared" si="1"/>
        <v>PID_27</v>
      </c>
      <c r="H43" t="str">
        <f t="shared" si="2"/>
        <v>OxySensor4_FAER</v>
      </c>
    </row>
    <row r="44" spans="1:8" x14ac:dyDescent="0.25">
      <c r="A44" t="s">
        <v>72</v>
      </c>
      <c r="B44">
        <v>0</v>
      </c>
      <c r="C44">
        <v>2</v>
      </c>
      <c r="D44" t="s">
        <v>68</v>
      </c>
      <c r="E44" t="str">
        <f t="shared" si="3"/>
        <v>S1</v>
      </c>
      <c r="F44" t="str">
        <f t="shared" si="1"/>
        <v>PID_28</v>
      </c>
      <c r="H44" t="str">
        <f t="shared" si="2"/>
        <v>OxySensor5_FAER</v>
      </c>
    </row>
    <row r="45" spans="1:8" x14ac:dyDescent="0.25">
      <c r="A45" t="s">
        <v>73</v>
      </c>
      <c r="B45">
        <v>0</v>
      </c>
      <c r="C45">
        <v>2</v>
      </c>
      <c r="D45" t="s">
        <v>68</v>
      </c>
      <c r="E45" t="str">
        <f t="shared" si="3"/>
        <v>S1</v>
      </c>
      <c r="F45" t="str">
        <f t="shared" si="1"/>
        <v>PID_29</v>
      </c>
      <c r="H45" t="str">
        <f t="shared" si="2"/>
        <v>OxySensor6_FAER</v>
      </c>
    </row>
    <row r="46" spans="1:8" x14ac:dyDescent="0.25">
      <c r="A46" t="s">
        <v>74</v>
      </c>
      <c r="B46">
        <v>0</v>
      </c>
      <c r="C46">
        <v>2</v>
      </c>
      <c r="D46" t="s">
        <v>68</v>
      </c>
      <c r="E46" t="str">
        <f t="shared" si="3"/>
        <v>S1</v>
      </c>
      <c r="F46" t="str">
        <f t="shared" si="1"/>
        <v>PID_2A</v>
      </c>
      <c r="H46" t="str">
        <f t="shared" si="2"/>
        <v>OxySensor7_FAER</v>
      </c>
    </row>
    <row r="47" spans="1:8" x14ac:dyDescent="0.25">
      <c r="A47" t="s">
        <v>75</v>
      </c>
      <c r="B47">
        <v>0</v>
      </c>
      <c r="C47">
        <v>2</v>
      </c>
      <c r="D47" t="s">
        <v>68</v>
      </c>
      <c r="E47" t="str">
        <f t="shared" si="3"/>
        <v>S1</v>
      </c>
      <c r="F47" t="str">
        <f t="shared" si="1"/>
        <v>PID_2B</v>
      </c>
      <c r="H47" t="str">
        <f t="shared" si="2"/>
        <v>OxySensor8_FAER</v>
      </c>
    </row>
    <row r="48" spans="1:8" x14ac:dyDescent="0.25">
      <c r="A48" t="s">
        <v>76</v>
      </c>
      <c r="B48">
        <v>0</v>
      </c>
      <c r="C48">
        <v>100</v>
      </c>
      <c r="D48" t="s">
        <v>29</v>
      </c>
      <c r="E48" t="str">
        <f t="shared" si="3"/>
        <v>S1</v>
      </c>
      <c r="F48" t="str">
        <f t="shared" si="1"/>
        <v>PID_2C</v>
      </c>
      <c r="H48" t="str">
        <f t="shared" si="2"/>
        <v>CmdEGR</v>
      </c>
    </row>
    <row r="49" spans="1:8" x14ac:dyDescent="0.25">
      <c r="A49" t="s">
        <v>77</v>
      </c>
      <c r="B49">
        <v>-100</v>
      </c>
      <c r="C49">
        <v>99.21875</v>
      </c>
      <c r="D49" t="s">
        <v>29</v>
      </c>
      <c r="E49" t="str">
        <f t="shared" si="3"/>
        <v>S1</v>
      </c>
      <c r="F49" t="str">
        <f t="shared" si="1"/>
        <v>PID_2D</v>
      </c>
      <c r="H49" t="str">
        <f t="shared" si="2"/>
        <v>EGRError</v>
      </c>
    </row>
    <row r="50" spans="1:8" x14ac:dyDescent="0.25">
      <c r="A50" t="s">
        <v>78</v>
      </c>
      <c r="B50">
        <v>0</v>
      </c>
      <c r="C50">
        <v>100</v>
      </c>
      <c r="D50" t="s">
        <v>29</v>
      </c>
      <c r="E50" t="str">
        <f t="shared" si="3"/>
        <v>S1</v>
      </c>
      <c r="F50" t="str">
        <f t="shared" si="1"/>
        <v>PID_2E</v>
      </c>
      <c r="H50" t="str">
        <f t="shared" si="2"/>
        <v>CmdEvapPurge</v>
      </c>
    </row>
    <row r="51" spans="1:8" x14ac:dyDescent="0.25">
      <c r="A51" t="s">
        <v>79</v>
      </c>
      <c r="B51">
        <v>0</v>
      </c>
      <c r="C51">
        <v>100</v>
      </c>
      <c r="D51" t="s">
        <v>29</v>
      </c>
      <c r="E51" t="str">
        <f t="shared" si="3"/>
        <v>S1</v>
      </c>
      <c r="F51" t="str">
        <f t="shared" si="1"/>
        <v>PID_2F</v>
      </c>
      <c r="H51" t="str">
        <f t="shared" si="2"/>
        <v>FuelTankLevel</v>
      </c>
    </row>
    <row r="52" spans="1:8" x14ac:dyDescent="0.25">
      <c r="A52" t="s">
        <v>80</v>
      </c>
      <c r="B52">
        <v>0</v>
      </c>
      <c r="C52">
        <v>255</v>
      </c>
      <c r="D52" t="s">
        <v>81</v>
      </c>
      <c r="E52" t="str">
        <f t="shared" si="3"/>
        <v>S1</v>
      </c>
      <c r="F52" t="str">
        <f t="shared" si="1"/>
        <v>PID_30</v>
      </c>
      <c r="H52" t="str">
        <f t="shared" si="2"/>
        <v>WarmUpsSinceCodeClear</v>
      </c>
    </row>
    <row r="53" spans="1:8" x14ac:dyDescent="0.25">
      <c r="A53" t="s">
        <v>82</v>
      </c>
      <c r="B53">
        <v>0</v>
      </c>
      <c r="C53">
        <v>65535</v>
      </c>
      <c r="D53" t="s">
        <v>64</v>
      </c>
      <c r="E53" t="str">
        <f t="shared" si="3"/>
        <v>S1</v>
      </c>
      <c r="F53" t="str">
        <f t="shared" si="1"/>
        <v>PID_31</v>
      </c>
      <c r="H53" t="str">
        <f t="shared" si="2"/>
        <v>DistanceSinceCodeClear</v>
      </c>
    </row>
    <row r="54" spans="1:8" x14ac:dyDescent="0.25">
      <c r="A54" t="s">
        <v>83</v>
      </c>
      <c r="B54">
        <v>-8192</v>
      </c>
      <c r="C54">
        <v>8191.75</v>
      </c>
      <c r="D54" t="s">
        <v>84</v>
      </c>
      <c r="E54" t="str">
        <f t="shared" si="3"/>
        <v>S1</v>
      </c>
      <c r="F54" t="str">
        <f t="shared" si="1"/>
        <v>PID_32</v>
      </c>
      <c r="H54" t="str">
        <f t="shared" si="2"/>
        <v>EvapSysVaporPres</v>
      </c>
    </row>
    <row r="55" spans="1:8" x14ac:dyDescent="0.25">
      <c r="A55" t="s">
        <v>85</v>
      </c>
      <c r="B55">
        <v>0</v>
      </c>
      <c r="C55">
        <v>255</v>
      </c>
      <c r="D55" t="s">
        <v>37</v>
      </c>
      <c r="E55" t="str">
        <f t="shared" si="3"/>
        <v>S1</v>
      </c>
      <c r="F55" t="str">
        <f t="shared" si="1"/>
        <v>PID_33</v>
      </c>
      <c r="H55" t="str">
        <f t="shared" si="2"/>
        <v>AbsBaroPres</v>
      </c>
    </row>
    <row r="56" spans="1:8" x14ac:dyDescent="0.25">
      <c r="A56" t="s">
        <v>86</v>
      </c>
      <c r="B56">
        <v>0</v>
      </c>
      <c r="C56">
        <v>2</v>
      </c>
      <c r="D56" t="s">
        <v>68</v>
      </c>
      <c r="E56" t="str">
        <f t="shared" si="3"/>
        <v>S1</v>
      </c>
      <c r="F56" t="str">
        <f t="shared" si="1"/>
        <v>PID_34</v>
      </c>
      <c r="H56" t="str">
        <f t="shared" si="2"/>
        <v>OxySensor1_FAER</v>
      </c>
    </row>
    <row r="57" spans="1:8" x14ac:dyDescent="0.25">
      <c r="A57" t="s">
        <v>87</v>
      </c>
      <c r="B57">
        <v>0</v>
      </c>
      <c r="C57">
        <v>2</v>
      </c>
      <c r="D57" t="s">
        <v>68</v>
      </c>
      <c r="E57" t="str">
        <f t="shared" si="3"/>
        <v>S1</v>
      </c>
      <c r="F57" t="str">
        <f t="shared" si="1"/>
        <v>PID_35</v>
      </c>
      <c r="H57" t="str">
        <f t="shared" si="2"/>
        <v>OxySensor2_FAER</v>
      </c>
    </row>
    <row r="58" spans="1:8" x14ac:dyDescent="0.25">
      <c r="A58" t="s">
        <v>88</v>
      </c>
      <c r="B58">
        <v>0</v>
      </c>
      <c r="C58">
        <v>2</v>
      </c>
      <c r="D58" t="s">
        <v>68</v>
      </c>
      <c r="E58" t="str">
        <f t="shared" si="3"/>
        <v>S1</v>
      </c>
      <c r="F58" t="str">
        <f t="shared" si="1"/>
        <v>PID_36</v>
      </c>
      <c r="H58" t="str">
        <f t="shared" si="2"/>
        <v>OxySensor3_FAER</v>
      </c>
    </row>
    <row r="59" spans="1:8" x14ac:dyDescent="0.25">
      <c r="A59" t="s">
        <v>89</v>
      </c>
      <c r="B59">
        <v>0</v>
      </c>
      <c r="C59">
        <v>2</v>
      </c>
      <c r="D59" t="s">
        <v>68</v>
      </c>
      <c r="E59" t="str">
        <f t="shared" si="3"/>
        <v>S1</v>
      </c>
      <c r="F59" t="str">
        <f t="shared" si="1"/>
        <v>PID_37</v>
      </c>
      <c r="H59" t="str">
        <f t="shared" si="2"/>
        <v>OxySensor4_FAER</v>
      </c>
    </row>
    <row r="60" spans="1:8" x14ac:dyDescent="0.25">
      <c r="A60" t="s">
        <v>90</v>
      </c>
      <c r="B60">
        <v>0</v>
      </c>
      <c r="C60">
        <v>2</v>
      </c>
      <c r="D60" t="s">
        <v>68</v>
      </c>
      <c r="E60" t="str">
        <f t="shared" si="3"/>
        <v>S1</v>
      </c>
      <c r="F60" t="str">
        <f t="shared" si="1"/>
        <v>PID_38</v>
      </c>
      <c r="H60" t="str">
        <f t="shared" si="2"/>
        <v>OxySensor5_FAER</v>
      </c>
    </row>
    <row r="61" spans="1:8" x14ac:dyDescent="0.25">
      <c r="A61" t="s">
        <v>91</v>
      </c>
      <c r="B61">
        <v>0</v>
      </c>
      <c r="C61">
        <v>2</v>
      </c>
      <c r="D61" t="s">
        <v>68</v>
      </c>
      <c r="E61" t="str">
        <f t="shared" si="3"/>
        <v>S1</v>
      </c>
      <c r="F61" t="str">
        <f t="shared" si="1"/>
        <v>PID_39</v>
      </c>
      <c r="H61" t="str">
        <f t="shared" si="2"/>
        <v>OxySensor6_FAER</v>
      </c>
    </row>
    <row r="62" spans="1:8" x14ac:dyDescent="0.25">
      <c r="A62" t="s">
        <v>92</v>
      </c>
      <c r="B62">
        <v>0</v>
      </c>
      <c r="C62">
        <v>2</v>
      </c>
      <c r="D62" t="s">
        <v>68</v>
      </c>
      <c r="E62" t="str">
        <f t="shared" si="3"/>
        <v>S1</v>
      </c>
      <c r="F62" t="str">
        <f t="shared" si="1"/>
        <v>PID_3A</v>
      </c>
      <c r="H62" t="str">
        <f t="shared" si="2"/>
        <v>OxySensor7_FAER</v>
      </c>
    </row>
    <row r="63" spans="1:8" x14ac:dyDescent="0.25">
      <c r="A63" t="s">
        <v>93</v>
      </c>
      <c r="B63">
        <v>0</v>
      </c>
      <c r="C63">
        <v>2</v>
      </c>
      <c r="D63" t="s">
        <v>68</v>
      </c>
      <c r="E63" t="str">
        <f t="shared" si="3"/>
        <v>S1</v>
      </c>
      <c r="F63" t="str">
        <f t="shared" si="1"/>
        <v>PID_3B</v>
      </c>
      <c r="H63" t="str">
        <f t="shared" si="2"/>
        <v>OxySensor8_FAER</v>
      </c>
    </row>
    <row r="64" spans="1:8" x14ac:dyDescent="0.25">
      <c r="A64" t="s">
        <v>94</v>
      </c>
      <c r="B64">
        <v>-40</v>
      </c>
      <c r="C64">
        <v>6513.5</v>
      </c>
      <c r="D64" t="s">
        <v>31</v>
      </c>
      <c r="E64" t="str">
        <f t="shared" si="3"/>
        <v>S1</v>
      </c>
      <c r="F64" t="str">
        <f t="shared" si="1"/>
        <v>PID_3C</v>
      </c>
      <c r="H64" t="str">
        <f t="shared" si="2"/>
        <v>CatTempBank1Sens1</v>
      </c>
    </row>
    <row r="65" spans="1:8" x14ac:dyDescent="0.25">
      <c r="A65" t="s">
        <v>95</v>
      </c>
      <c r="B65">
        <v>-40</v>
      </c>
      <c r="C65">
        <v>6513.5</v>
      </c>
      <c r="D65" t="s">
        <v>31</v>
      </c>
      <c r="E65" t="str">
        <f t="shared" si="3"/>
        <v>S1</v>
      </c>
      <c r="F65" t="str">
        <f t="shared" si="1"/>
        <v>PID_3D</v>
      </c>
      <c r="H65" t="str">
        <f t="shared" si="2"/>
        <v>CatTempBank2Sens1</v>
      </c>
    </row>
    <row r="66" spans="1:8" x14ac:dyDescent="0.25">
      <c r="A66" t="s">
        <v>96</v>
      </c>
      <c r="B66">
        <v>-40</v>
      </c>
      <c r="C66">
        <v>6513.5</v>
      </c>
      <c r="D66" t="s">
        <v>31</v>
      </c>
      <c r="E66" t="str">
        <f t="shared" si="3"/>
        <v>S1</v>
      </c>
      <c r="F66" t="str">
        <f t="shared" si="1"/>
        <v>PID_3E</v>
      </c>
      <c r="H66" t="str">
        <f t="shared" si="2"/>
        <v>CatTempBank1Sens2</v>
      </c>
    </row>
    <row r="67" spans="1:8" x14ac:dyDescent="0.25">
      <c r="A67" t="s">
        <v>97</v>
      </c>
      <c r="B67">
        <v>-40</v>
      </c>
      <c r="C67">
        <v>6513.5</v>
      </c>
      <c r="D67" t="s">
        <v>31</v>
      </c>
      <c r="E67" t="str">
        <f t="shared" si="3"/>
        <v>S1</v>
      </c>
      <c r="F67" t="str">
        <f t="shared" si="1"/>
        <v>PID_3F</v>
      </c>
      <c r="H67" t="str">
        <f t="shared" si="2"/>
        <v>CatTempBank2Sens2</v>
      </c>
    </row>
    <row r="68" spans="1:8" x14ac:dyDescent="0.25">
      <c r="A68" s="1" t="s">
        <v>98</v>
      </c>
      <c r="B68">
        <v>0</v>
      </c>
      <c r="C68">
        <v>-1</v>
      </c>
      <c r="D68" t="s">
        <v>19</v>
      </c>
      <c r="E68" t="str">
        <f t="shared" si="3"/>
        <v>S1</v>
      </c>
      <c r="F68" t="str">
        <f t="shared" si="1"/>
        <v>PID_40</v>
      </c>
      <c r="H68" t="str">
        <f t="shared" si="2"/>
        <v>PIDsSupported_41_60</v>
      </c>
    </row>
    <row r="69" spans="1:8" x14ac:dyDescent="0.25">
      <c r="A69" t="s">
        <v>99</v>
      </c>
      <c r="B69">
        <v>0</v>
      </c>
      <c r="C69">
        <v>-1</v>
      </c>
      <c r="D69" t="s">
        <v>19</v>
      </c>
      <c r="E69" t="str">
        <f t="shared" si="3"/>
        <v>S1</v>
      </c>
      <c r="F69" t="str">
        <f t="shared" si="1"/>
        <v>PID_41</v>
      </c>
      <c r="H69" t="str">
        <f t="shared" si="2"/>
        <v>MonStatusDriveCycle</v>
      </c>
    </row>
    <row r="70" spans="1:8" x14ac:dyDescent="0.25">
      <c r="A70" t="s">
        <v>100</v>
      </c>
      <c r="B70">
        <v>0</v>
      </c>
      <c r="C70">
        <v>65.534999999999997</v>
      </c>
      <c r="D70" t="s">
        <v>101</v>
      </c>
      <c r="E70" t="str">
        <f t="shared" si="3"/>
        <v>S1</v>
      </c>
      <c r="F70" t="str">
        <f t="shared" si="1"/>
        <v>PID_42</v>
      </c>
      <c r="H70" t="str">
        <f t="shared" si="2"/>
        <v>ControlModuleVolt</v>
      </c>
    </row>
    <row r="71" spans="1:8" x14ac:dyDescent="0.25">
      <c r="A71" t="s">
        <v>102</v>
      </c>
      <c r="B71">
        <v>0</v>
      </c>
      <c r="C71">
        <v>25700</v>
      </c>
      <c r="D71" t="s">
        <v>29</v>
      </c>
      <c r="E71" t="str">
        <f t="shared" si="3"/>
        <v>S1</v>
      </c>
      <c r="F71" t="str">
        <f t="shared" si="1"/>
        <v>PID_43</v>
      </c>
      <c r="H71" t="str">
        <f t="shared" si="2"/>
        <v>AbsLoadValue</v>
      </c>
    </row>
    <row r="72" spans="1:8" x14ac:dyDescent="0.25">
      <c r="A72" t="s">
        <v>103</v>
      </c>
      <c r="B72">
        <v>0</v>
      </c>
      <c r="C72">
        <v>2</v>
      </c>
      <c r="D72" t="s">
        <v>68</v>
      </c>
      <c r="E72" t="str">
        <f t="shared" si="3"/>
        <v>S1</v>
      </c>
      <c r="F72" t="str">
        <f t="shared" ref="F72:F135" si="4">MID(A72,4,6)</f>
        <v>PID_44</v>
      </c>
      <c r="H72" t="str">
        <f t="shared" ref="H72:H135" si="5">RIGHT(A72, LEN(A72)-10)</f>
        <v>FuelAirCmdEquiv</v>
      </c>
    </row>
    <row r="73" spans="1:8" x14ac:dyDescent="0.25">
      <c r="A73" t="s">
        <v>104</v>
      </c>
      <c r="B73">
        <v>0</v>
      </c>
      <c r="C73">
        <v>100</v>
      </c>
      <c r="D73" t="s">
        <v>29</v>
      </c>
      <c r="E73" t="str">
        <f t="shared" si="3"/>
        <v>S1</v>
      </c>
      <c r="F73" t="str">
        <f t="shared" si="4"/>
        <v>PID_45</v>
      </c>
      <c r="H73" t="str">
        <f t="shared" si="5"/>
        <v>RelThrottlePos</v>
      </c>
    </row>
    <row r="74" spans="1:8" x14ac:dyDescent="0.25">
      <c r="A74" t="s">
        <v>105</v>
      </c>
      <c r="B74">
        <v>-40</v>
      </c>
      <c r="C74">
        <v>215</v>
      </c>
      <c r="D74" t="s">
        <v>31</v>
      </c>
      <c r="E74" t="str">
        <f t="shared" si="3"/>
        <v>S1</v>
      </c>
      <c r="F74" t="str">
        <f t="shared" si="4"/>
        <v>PID_46</v>
      </c>
      <c r="H74" t="str">
        <f t="shared" si="5"/>
        <v>AmbientAirTemp</v>
      </c>
    </row>
    <row r="75" spans="1:8" x14ac:dyDescent="0.25">
      <c r="A75" t="s">
        <v>106</v>
      </c>
      <c r="B75">
        <v>0</v>
      </c>
      <c r="C75">
        <v>100</v>
      </c>
      <c r="D75" t="s">
        <v>29</v>
      </c>
      <c r="E75" t="str">
        <f t="shared" si="3"/>
        <v>S1</v>
      </c>
      <c r="F75" t="str">
        <f t="shared" si="4"/>
        <v>PID_47</v>
      </c>
      <c r="H75" t="str">
        <f t="shared" si="5"/>
        <v>AbsThrottlePosB</v>
      </c>
    </row>
    <row r="76" spans="1:8" x14ac:dyDescent="0.25">
      <c r="A76" t="s">
        <v>107</v>
      </c>
      <c r="B76">
        <v>0</v>
      </c>
      <c r="C76">
        <v>100</v>
      </c>
      <c r="D76" t="s">
        <v>29</v>
      </c>
      <c r="E76" t="str">
        <f t="shared" si="3"/>
        <v>S1</v>
      </c>
      <c r="F76" t="str">
        <f t="shared" si="4"/>
        <v>PID_48</v>
      </c>
      <c r="H76" t="str">
        <f t="shared" si="5"/>
        <v>AbsThrottlePosC</v>
      </c>
    </row>
    <row r="77" spans="1:8" x14ac:dyDescent="0.25">
      <c r="A77" t="s">
        <v>108</v>
      </c>
      <c r="B77">
        <v>0</v>
      </c>
      <c r="C77">
        <v>100</v>
      </c>
      <c r="D77" t="s">
        <v>29</v>
      </c>
      <c r="E77" t="str">
        <f t="shared" si="3"/>
        <v>S1</v>
      </c>
      <c r="F77" t="str">
        <f t="shared" si="4"/>
        <v>PID_49</v>
      </c>
      <c r="H77" t="str">
        <f t="shared" si="5"/>
        <v>AbsThrottlePosD</v>
      </c>
    </row>
    <row r="78" spans="1:8" x14ac:dyDescent="0.25">
      <c r="A78" t="s">
        <v>109</v>
      </c>
      <c r="B78">
        <v>0</v>
      </c>
      <c r="C78">
        <v>100</v>
      </c>
      <c r="D78" t="s">
        <v>29</v>
      </c>
      <c r="E78" t="str">
        <f t="shared" si="3"/>
        <v>S1</v>
      </c>
      <c r="F78" t="str">
        <f t="shared" si="4"/>
        <v>PID_4A</v>
      </c>
      <c r="H78" t="str">
        <f t="shared" si="5"/>
        <v>AbsThrottlePosE</v>
      </c>
    </row>
    <row r="79" spans="1:8" x14ac:dyDescent="0.25">
      <c r="A79" t="s">
        <v>110</v>
      </c>
      <c r="B79">
        <v>0</v>
      </c>
      <c r="C79">
        <v>100</v>
      </c>
      <c r="D79" t="s">
        <v>29</v>
      </c>
      <c r="E79" t="str">
        <f t="shared" si="3"/>
        <v>S1</v>
      </c>
      <c r="F79" t="str">
        <f t="shared" si="4"/>
        <v>PID_4B</v>
      </c>
      <c r="H79" t="str">
        <f t="shared" si="5"/>
        <v>AbsThrottlePosF</v>
      </c>
    </row>
    <row r="80" spans="1:8" x14ac:dyDescent="0.25">
      <c r="A80" t="s">
        <v>111</v>
      </c>
      <c r="B80">
        <v>0</v>
      </c>
      <c r="C80">
        <v>100</v>
      </c>
      <c r="D80" t="s">
        <v>29</v>
      </c>
      <c r="E80" t="str">
        <f t="shared" si="3"/>
        <v>S1</v>
      </c>
      <c r="F80" t="str">
        <f t="shared" si="4"/>
        <v>PID_4C</v>
      </c>
      <c r="H80" t="str">
        <f t="shared" si="5"/>
        <v>CmdThrottleAct</v>
      </c>
    </row>
    <row r="81" spans="1:8" x14ac:dyDescent="0.25">
      <c r="A81" t="s">
        <v>112</v>
      </c>
      <c r="B81">
        <v>0</v>
      </c>
      <c r="C81">
        <v>65535</v>
      </c>
      <c r="D81" t="s">
        <v>113</v>
      </c>
      <c r="E81" t="str">
        <f t="shared" ref="E81:E144" si="6">MID(A81,1,2)</f>
        <v>S1</v>
      </c>
      <c r="F81" t="str">
        <f t="shared" si="4"/>
        <v>PID_4D</v>
      </c>
      <c r="H81" t="str">
        <f t="shared" si="5"/>
        <v>TimeRunMILOn</v>
      </c>
    </row>
    <row r="82" spans="1:8" x14ac:dyDescent="0.25">
      <c r="A82" t="s">
        <v>114</v>
      </c>
      <c r="B82">
        <v>0</v>
      </c>
      <c r="C82">
        <v>65535</v>
      </c>
      <c r="D82" t="s">
        <v>113</v>
      </c>
      <c r="E82" t="str">
        <f t="shared" si="6"/>
        <v>S1</v>
      </c>
      <c r="F82" t="str">
        <f t="shared" si="4"/>
        <v>PID_4E</v>
      </c>
      <c r="H82" t="str">
        <f t="shared" si="5"/>
        <v>TimeSinceCodeClear</v>
      </c>
    </row>
    <row r="83" spans="1:8" x14ac:dyDescent="0.25">
      <c r="A83" t="s">
        <v>115</v>
      </c>
      <c r="B83">
        <v>0</v>
      </c>
      <c r="C83">
        <v>255</v>
      </c>
      <c r="D83" t="s">
        <v>68</v>
      </c>
      <c r="E83" t="str">
        <f t="shared" si="6"/>
        <v>S1</v>
      </c>
      <c r="F83" t="str">
        <f t="shared" si="4"/>
        <v>PID_4F</v>
      </c>
      <c r="H83" t="str">
        <f t="shared" si="5"/>
        <v>Max_FAER</v>
      </c>
    </row>
    <row r="84" spans="1:8" x14ac:dyDescent="0.25">
      <c r="A84" t="s">
        <v>116</v>
      </c>
      <c r="B84">
        <v>0</v>
      </c>
      <c r="C84">
        <v>2550</v>
      </c>
      <c r="D84" t="s">
        <v>117</v>
      </c>
      <c r="E84" t="str">
        <f t="shared" si="6"/>
        <v>S1</v>
      </c>
      <c r="F84" t="str">
        <f t="shared" si="4"/>
        <v>PID_50</v>
      </c>
      <c r="H84" t="str">
        <f t="shared" si="5"/>
        <v>Max_AirFlowMAF</v>
      </c>
    </row>
    <row r="85" spans="1:8" x14ac:dyDescent="0.25">
      <c r="A85" t="s">
        <v>118</v>
      </c>
      <c r="B85">
        <v>0</v>
      </c>
      <c r="C85">
        <v>255</v>
      </c>
      <c r="D85" t="s">
        <v>19</v>
      </c>
      <c r="E85" t="str">
        <f t="shared" si="6"/>
        <v>S1</v>
      </c>
      <c r="F85" t="str">
        <f t="shared" si="4"/>
        <v>PID_51</v>
      </c>
      <c r="H85" t="str">
        <f t="shared" si="5"/>
        <v>FuelType</v>
      </c>
    </row>
    <row r="86" spans="1:8" x14ac:dyDescent="0.25">
      <c r="A86" t="s">
        <v>119</v>
      </c>
      <c r="B86">
        <v>0</v>
      </c>
      <c r="C86">
        <v>100</v>
      </c>
      <c r="D86" t="s">
        <v>29</v>
      </c>
      <c r="E86" t="str">
        <f t="shared" si="6"/>
        <v>S1</v>
      </c>
      <c r="F86" t="str">
        <f t="shared" si="4"/>
        <v>PID_52</v>
      </c>
      <c r="H86" t="str">
        <f t="shared" si="5"/>
        <v>EthanolFuelPct</v>
      </c>
    </row>
    <row r="87" spans="1:8" x14ac:dyDescent="0.25">
      <c r="A87" t="s">
        <v>120</v>
      </c>
      <c r="B87">
        <v>0</v>
      </c>
      <c r="C87">
        <v>327.67500000000001</v>
      </c>
      <c r="D87" t="s">
        <v>37</v>
      </c>
      <c r="E87" t="str">
        <f t="shared" si="6"/>
        <v>S1</v>
      </c>
      <c r="F87" t="str">
        <f t="shared" si="4"/>
        <v>PID_53</v>
      </c>
      <c r="H87" t="str">
        <f t="shared" si="5"/>
        <v>AbsEvapSysVapPres</v>
      </c>
    </row>
    <row r="88" spans="1:8" x14ac:dyDescent="0.25">
      <c r="A88" t="s">
        <v>121</v>
      </c>
      <c r="B88">
        <v>-32767</v>
      </c>
      <c r="C88">
        <v>32768</v>
      </c>
      <c r="D88" t="s">
        <v>84</v>
      </c>
      <c r="E88" t="str">
        <f t="shared" si="6"/>
        <v>S1</v>
      </c>
      <c r="F88" t="str">
        <f t="shared" si="4"/>
        <v>PID_54</v>
      </c>
      <c r="H88" t="str">
        <f t="shared" si="5"/>
        <v>EvapSysVapPres</v>
      </c>
    </row>
    <row r="89" spans="1:8" x14ac:dyDescent="0.25">
      <c r="A89" t="s">
        <v>122</v>
      </c>
      <c r="B89">
        <v>-100</v>
      </c>
      <c r="C89">
        <v>99.21875</v>
      </c>
      <c r="D89" t="s">
        <v>29</v>
      </c>
      <c r="E89" t="str">
        <f t="shared" si="6"/>
        <v>S1</v>
      </c>
      <c r="F89" t="str">
        <f t="shared" si="4"/>
        <v>PID_55</v>
      </c>
      <c r="H89" t="str">
        <f t="shared" si="5"/>
        <v>ShortSecOxyTrimBank1</v>
      </c>
    </row>
    <row r="90" spans="1:8" x14ac:dyDescent="0.25">
      <c r="A90" t="s">
        <v>123</v>
      </c>
      <c r="B90">
        <v>-100</v>
      </c>
      <c r="C90">
        <v>99.21875</v>
      </c>
      <c r="D90" t="s">
        <v>29</v>
      </c>
      <c r="E90" t="str">
        <f t="shared" si="6"/>
        <v>S1</v>
      </c>
      <c r="F90" t="str">
        <f t="shared" si="4"/>
        <v>PID_56</v>
      </c>
      <c r="H90" t="str">
        <f t="shared" si="5"/>
        <v>LongSecOxyTrimBank1</v>
      </c>
    </row>
    <row r="91" spans="1:8" x14ac:dyDescent="0.25">
      <c r="A91" t="s">
        <v>124</v>
      </c>
      <c r="B91">
        <v>-100</v>
      </c>
      <c r="C91">
        <v>99.21875</v>
      </c>
      <c r="D91" t="s">
        <v>29</v>
      </c>
      <c r="E91" t="str">
        <f t="shared" si="6"/>
        <v>S1</v>
      </c>
      <c r="F91" t="str">
        <f t="shared" si="4"/>
        <v>PID_57</v>
      </c>
      <c r="H91" t="str">
        <f t="shared" si="5"/>
        <v>ShortSecOxyTrimBank2</v>
      </c>
    </row>
    <row r="92" spans="1:8" x14ac:dyDescent="0.25">
      <c r="A92" t="s">
        <v>125</v>
      </c>
      <c r="B92">
        <v>-100</v>
      </c>
      <c r="C92">
        <v>99.21875</v>
      </c>
      <c r="D92" t="s">
        <v>29</v>
      </c>
      <c r="E92" t="str">
        <f t="shared" si="6"/>
        <v>S1</v>
      </c>
      <c r="F92" t="str">
        <f t="shared" si="4"/>
        <v>PID_58</v>
      </c>
      <c r="H92" t="str">
        <f t="shared" si="5"/>
        <v>LongSecOxyTrimBank2</v>
      </c>
    </row>
    <row r="93" spans="1:8" x14ac:dyDescent="0.25">
      <c r="A93" t="s">
        <v>126</v>
      </c>
      <c r="B93">
        <v>0</v>
      </c>
      <c r="C93">
        <v>655350</v>
      </c>
      <c r="D93" t="s">
        <v>37</v>
      </c>
      <c r="E93" t="str">
        <f t="shared" si="6"/>
        <v>S1</v>
      </c>
      <c r="F93" t="str">
        <f t="shared" si="4"/>
        <v>PID_59</v>
      </c>
      <c r="H93" t="str">
        <f t="shared" si="5"/>
        <v>FuelRailAbsPres</v>
      </c>
    </row>
    <row r="94" spans="1:8" x14ac:dyDescent="0.25">
      <c r="A94" t="s">
        <v>127</v>
      </c>
      <c r="B94">
        <v>0</v>
      </c>
      <c r="C94">
        <v>100</v>
      </c>
      <c r="D94" t="s">
        <v>29</v>
      </c>
      <c r="E94" t="str">
        <f t="shared" si="6"/>
        <v>S1</v>
      </c>
      <c r="F94" t="str">
        <f t="shared" si="4"/>
        <v>PID_5A</v>
      </c>
      <c r="H94" t="str">
        <f t="shared" si="5"/>
        <v>RelAccelPedalPos</v>
      </c>
    </row>
    <row r="95" spans="1:8" x14ac:dyDescent="0.25">
      <c r="A95" t="s">
        <v>128</v>
      </c>
      <c r="B95">
        <v>0</v>
      </c>
      <c r="C95">
        <v>100</v>
      </c>
      <c r="D95" t="s">
        <v>29</v>
      </c>
      <c r="E95" t="str">
        <f t="shared" si="6"/>
        <v>S1</v>
      </c>
      <c r="F95" t="str">
        <f t="shared" si="4"/>
        <v>PID_5B</v>
      </c>
      <c r="H95" t="str">
        <f t="shared" si="5"/>
        <v>HybrBatPackRemLife</v>
      </c>
    </row>
    <row r="96" spans="1:8" x14ac:dyDescent="0.25">
      <c r="A96" t="s">
        <v>129</v>
      </c>
      <c r="B96">
        <v>-40</v>
      </c>
      <c r="C96">
        <v>215</v>
      </c>
      <c r="D96" t="s">
        <v>31</v>
      </c>
      <c r="E96" t="str">
        <f t="shared" si="6"/>
        <v>S1</v>
      </c>
      <c r="F96" t="str">
        <f t="shared" si="4"/>
        <v>PID_5C</v>
      </c>
      <c r="H96" t="str">
        <f t="shared" si="5"/>
        <v>EngineOilTemp</v>
      </c>
    </row>
    <row r="97" spans="1:8" x14ac:dyDescent="0.25">
      <c r="A97" t="s">
        <v>130</v>
      </c>
      <c r="B97">
        <v>-210</v>
      </c>
      <c r="C97">
        <v>301.9921875</v>
      </c>
      <c r="D97" t="s">
        <v>131</v>
      </c>
      <c r="E97" t="str">
        <f t="shared" si="6"/>
        <v>S1</v>
      </c>
      <c r="F97" t="str">
        <f t="shared" si="4"/>
        <v>PID_5D</v>
      </c>
      <c r="H97" t="str">
        <f t="shared" si="5"/>
        <v>FuelInjectionTiming</v>
      </c>
    </row>
    <row r="98" spans="1:8" x14ac:dyDescent="0.25">
      <c r="A98" t="s">
        <v>132</v>
      </c>
      <c r="B98">
        <v>0</v>
      </c>
      <c r="C98">
        <v>3276.75</v>
      </c>
      <c r="D98" t="s">
        <v>133</v>
      </c>
      <c r="E98" t="str">
        <f t="shared" si="6"/>
        <v>S1</v>
      </c>
      <c r="F98" t="str">
        <f t="shared" si="4"/>
        <v>PID_5E</v>
      </c>
      <c r="H98" t="str">
        <f t="shared" si="5"/>
        <v>EngineFuelRate</v>
      </c>
    </row>
    <row r="99" spans="1:8" x14ac:dyDescent="0.25">
      <c r="A99" t="s">
        <v>134</v>
      </c>
      <c r="B99">
        <v>0</v>
      </c>
      <c r="C99">
        <v>255</v>
      </c>
      <c r="D99" t="s">
        <v>19</v>
      </c>
      <c r="E99" t="str">
        <f t="shared" si="6"/>
        <v>S1</v>
      </c>
      <c r="F99" t="str">
        <f t="shared" si="4"/>
        <v>PID_5F</v>
      </c>
      <c r="H99" t="str">
        <f t="shared" si="5"/>
        <v>EmissionReq</v>
      </c>
    </row>
    <row r="100" spans="1:8" x14ac:dyDescent="0.25">
      <c r="A100" s="1" t="s">
        <v>135</v>
      </c>
      <c r="B100">
        <v>0</v>
      </c>
      <c r="C100">
        <v>-1</v>
      </c>
      <c r="D100" t="s">
        <v>19</v>
      </c>
      <c r="E100" t="str">
        <f t="shared" si="6"/>
        <v>S1</v>
      </c>
      <c r="F100" t="str">
        <f t="shared" si="4"/>
        <v>PID_60</v>
      </c>
      <c r="H100" t="str">
        <f t="shared" si="5"/>
        <v>PIDsSupported_61_80</v>
      </c>
    </row>
    <row r="101" spans="1:8" x14ac:dyDescent="0.25">
      <c r="A101" t="s">
        <v>136</v>
      </c>
      <c r="B101">
        <v>-125</v>
      </c>
      <c r="C101">
        <v>130</v>
      </c>
      <c r="D101" t="s">
        <v>29</v>
      </c>
      <c r="E101" t="str">
        <f t="shared" si="6"/>
        <v>S1</v>
      </c>
      <c r="F101" t="str">
        <f t="shared" si="4"/>
        <v>PID_61</v>
      </c>
      <c r="H101" t="str">
        <f t="shared" si="5"/>
        <v>DemandEngTorqPct</v>
      </c>
    </row>
    <row r="102" spans="1:8" x14ac:dyDescent="0.25">
      <c r="A102" t="s">
        <v>137</v>
      </c>
      <c r="B102">
        <v>-125</v>
      </c>
      <c r="C102">
        <v>130</v>
      </c>
      <c r="D102" t="s">
        <v>29</v>
      </c>
      <c r="E102" t="str">
        <f t="shared" si="6"/>
        <v>S1</v>
      </c>
      <c r="F102" t="str">
        <f t="shared" si="4"/>
        <v>PID_62</v>
      </c>
      <c r="H102" t="str">
        <f t="shared" si="5"/>
        <v>ActualEngTorqPct</v>
      </c>
    </row>
    <row r="103" spans="1:8" x14ac:dyDescent="0.25">
      <c r="A103" t="s">
        <v>138</v>
      </c>
      <c r="B103">
        <v>0</v>
      </c>
      <c r="C103">
        <v>65535</v>
      </c>
      <c r="D103" t="s">
        <v>139</v>
      </c>
      <c r="E103" t="str">
        <f t="shared" si="6"/>
        <v>S1</v>
      </c>
      <c r="F103" t="str">
        <f t="shared" si="4"/>
        <v>PID_63</v>
      </c>
      <c r="H103" t="str">
        <f t="shared" si="5"/>
        <v>EngRefTorq</v>
      </c>
    </row>
    <row r="104" spans="1:8" x14ac:dyDescent="0.25">
      <c r="A104" t="s">
        <v>140</v>
      </c>
      <c r="B104">
        <v>-125</v>
      </c>
      <c r="C104">
        <v>130</v>
      </c>
      <c r="D104" t="s">
        <v>29</v>
      </c>
      <c r="E104" t="str">
        <f t="shared" si="6"/>
        <v>S1</v>
      </c>
      <c r="F104" t="str">
        <f t="shared" si="4"/>
        <v>PID_64</v>
      </c>
      <c r="H104" t="str">
        <f t="shared" si="5"/>
        <v>EngPctTorq_Idle</v>
      </c>
    </row>
    <row r="105" spans="1:8" x14ac:dyDescent="0.25">
      <c r="A105" t="s">
        <v>141</v>
      </c>
      <c r="B105">
        <v>0</v>
      </c>
      <c r="C105">
        <v>255</v>
      </c>
      <c r="D105" t="s">
        <v>19</v>
      </c>
      <c r="E105" t="str">
        <f t="shared" si="6"/>
        <v>S1</v>
      </c>
      <c r="F105" t="str">
        <f t="shared" si="4"/>
        <v>PID_65</v>
      </c>
      <c r="H105" t="str">
        <f t="shared" si="5"/>
        <v>AuxInputOutput</v>
      </c>
    </row>
    <row r="106" spans="1:8" x14ac:dyDescent="0.25">
      <c r="A106" t="s">
        <v>142</v>
      </c>
      <c r="B106">
        <v>0</v>
      </c>
      <c r="C106">
        <v>255</v>
      </c>
      <c r="D106" t="s">
        <v>19</v>
      </c>
      <c r="E106" t="str">
        <f t="shared" si="6"/>
        <v>S1</v>
      </c>
      <c r="F106" t="str">
        <f t="shared" si="4"/>
        <v>PID_66</v>
      </c>
      <c r="H106" t="str">
        <f t="shared" si="5"/>
        <v>MAFSensor</v>
      </c>
    </row>
    <row r="107" spans="1:8" x14ac:dyDescent="0.25">
      <c r="A107" t="s">
        <v>143</v>
      </c>
      <c r="B107">
        <v>0</v>
      </c>
      <c r="C107">
        <v>255</v>
      </c>
      <c r="D107" t="s">
        <v>19</v>
      </c>
      <c r="E107" t="str">
        <f t="shared" si="6"/>
        <v>S1</v>
      </c>
      <c r="F107" t="str">
        <f t="shared" si="4"/>
        <v>PID_67</v>
      </c>
      <c r="H107" t="str">
        <f t="shared" si="5"/>
        <v>EngineCoolantTemp</v>
      </c>
    </row>
    <row r="108" spans="1:8" x14ac:dyDescent="0.25">
      <c r="A108" t="s">
        <v>144</v>
      </c>
      <c r="B108">
        <v>0</v>
      </c>
      <c r="C108">
        <v>255</v>
      </c>
      <c r="D108" t="s">
        <v>19</v>
      </c>
      <c r="E108" t="str">
        <f t="shared" si="6"/>
        <v>S1</v>
      </c>
      <c r="F108" t="str">
        <f t="shared" si="4"/>
        <v>PID_68</v>
      </c>
      <c r="H108" t="str">
        <f t="shared" si="5"/>
        <v>IntakeAirTempSens</v>
      </c>
    </row>
    <row r="109" spans="1:8" x14ac:dyDescent="0.25">
      <c r="A109" t="s">
        <v>145</v>
      </c>
      <c r="B109">
        <v>0</v>
      </c>
      <c r="C109">
        <v>255</v>
      </c>
      <c r="D109" t="s">
        <v>19</v>
      </c>
      <c r="E109" t="str">
        <f t="shared" si="6"/>
        <v>S1</v>
      </c>
      <c r="F109" t="str">
        <f t="shared" si="4"/>
        <v>PID_69</v>
      </c>
      <c r="H109" t="str">
        <f t="shared" si="5"/>
        <v>CmdEGR_EGRError</v>
      </c>
    </row>
    <row r="110" spans="1:8" x14ac:dyDescent="0.25">
      <c r="A110" t="s">
        <v>146</v>
      </c>
      <c r="B110">
        <v>0</v>
      </c>
      <c r="C110">
        <v>255</v>
      </c>
      <c r="D110" t="s">
        <v>19</v>
      </c>
      <c r="E110" t="str">
        <f t="shared" si="6"/>
        <v>S1</v>
      </c>
      <c r="F110" t="str">
        <f t="shared" si="4"/>
        <v>PID_6A</v>
      </c>
      <c r="H110" t="str">
        <f t="shared" si="5"/>
        <v>CmdDieselIntAir</v>
      </c>
    </row>
    <row r="111" spans="1:8" x14ac:dyDescent="0.25">
      <c r="A111" t="s">
        <v>147</v>
      </c>
      <c r="B111">
        <v>0</v>
      </c>
      <c r="C111">
        <v>255</v>
      </c>
      <c r="D111" t="s">
        <v>19</v>
      </c>
      <c r="E111" t="str">
        <f t="shared" si="6"/>
        <v>S1</v>
      </c>
      <c r="F111" t="str">
        <f t="shared" si="4"/>
        <v>PID_6B</v>
      </c>
      <c r="H111" t="str">
        <f t="shared" si="5"/>
        <v>ExhaustGasTemp</v>
      </c>
    </row>
    <row r="112" spans="1:8" x14ac:dyDescent="0.25">
      <c r="A112" t="s">
        <v>148</v>
      </c>
      <c r="B112">
        <v>0</v>
      </c>
      <c r="C112">
        <v>255</v>
      </c>
      <c r="D112" t="s">
        <v>19</v>
      </c>
      <c r="E112" t="str">
        <f t="shared" si="6"/>
        <v>S1</v>
      </c>
      <c r="F112" t="str">
        <f t="shared" si="4"/>
        <v>PID_6C</v>
      </c>
      <c r="H112" t="str">
        <f t="shared" si="5"/>
        <v>CmdThrottleActRel</v>
      </c>
    </row>
    <row r="113" spans="1:8" x14ac:dyDescent="0.25">
      <c r="A113" t="s">
        <v>149</v>
      </c>
      <c r="B113">
        <v>0</v>
      </c>
      <c r="C113">
        <v>255</v>
      </c>
      <c r="D113" t="s">
        <v>19</v>
      </c>
      <c r="E113" t="str">
        <f t="shared" si="6"/>
        <v>S1</v>
      </c>
      <c r="F113" t="str">
        <f t="shared" si="4"/>
        <v>PID_6D</v>
      </c>
      <c r="H113" t="str">
        <f t="shared" si="5"/>
        <v>FuelPresContrSys</v>
      </c>
    </row>
    <row r="114" spans="1:8" x14ac:dyDescent="0.25">
      <c r="A114" t="s">
        <v>150</v>
      </c>
      <c r="B114">
        <v>0</v>
      </c>
      <c r="C114">
        <v>255</v>
      </c>
      <c r="D114" t="s">
        <v>19</v>
      </c>
      <c r="E114" t="str">
        <f t="shared" si="6"/>
        <v>S1</v>
      </c>
      <c r="F114" t="str">
        <f t="shared" si="4"/>
        <v>PID_6E</v>
      </c>
      <c r="H114" t="str">
        <f t="shared" si="5"/>
        <v>InjPresContrSys</v>
      </c>
    </row>
    <row r="115" spans="1:8" x14ac:dyDescent="0.25">
      <c r="A115" t="s">
        <v>151</v>
      </c>
      <c r="B115">
        <v>0</v>
      </c>
      <c r="C115">
        <v>255</v>
      </c>
      <c r="D115" t="s">
        <v>19</v>
      </c>
      <c r="E115" t="str">
        <f t="shared" si="6"/>
        <v>S1</v>
      </c>
      <c r="F115" t="str">
        <f t="shared" si="4"/>
        <v>PID_6F</v>
      </c>
      <c r="H115" t="str">
        <f t="shared" si="5"/>
        <v>TurboComprPres</v>
      </c>
    </row>
    <row r="116" spans="1:8" x14ac:dyDescent="0.25">
      <c r="A116" t="s">
        <v>152</v>
      </c>
      <c r="B116">
        <v>0</v>
      </c>
      <c r="C116">
        <v>255</v>
      </c>
      <c r="D116" t="s">
        <v>19</v>
      </c>
      <c r="E116" t="str">
        <f t="shared" si="6"/>
        <v>S1</v>
      </c>
      <c r="F116" t="str">
        <f t="shared" si="4"/>
        <v>PID_70</v>
      </c>
      <c r="H116" t="str">
        <f t="shared" si="5"/>
        <v>BoostPresCntrl</v>
      </c>
    </row>
    <row r="117" spans="1:8" x14ac:dyDescent="0.25">
      <c r="A117" s="1" t="s">
        <v>153</v>
      </c>
      <c r="B117">
        <v>0</v>
      </c>
      <c r="C117">
        <v>-1</v>
      </c>
      <c r="D117" t="s">
        <v>19</v>
      </c>
      <c r="E117" t="str">
        <f t="shared" si="6"/>
        <v>S1</v>
      </c>
      <c r="F117" t="str">
        <f t="shared" si="4"/>
        <v>PID_80</v>
      </c>
      <c r="H117" t="str">
        <f t="shared" si="5"/>
        <v>PIDsSupported_81_A0</v>
      </c>
    </row>
    <row r="118" spans="1:8" x14ac:dyDescent="0.25">
      <c r="A118" t="s">
        <v>154</v>
      </c>
      <c r="B118">
        <v>-125</v>
      </c>
      <c r="C118">
        <v>130</v>
      </c>
      <c r="D118" t="s">
        <v>29</v>
      </c>
      <c r="E118" t="str">
        <f t="shared" si="6"/>
        <v>S1</v>
      </c>
      <c r="F118" t="str">
        <f t="shared" si="4"/>
        <v>PID_8E</v>
      </c>
      <c r="H118" t="str">
        <f t="shared" si="5"/>
        <v>EngFrictionPctTorq</v>
      </c>
    </row>
    <row r="119" spans="1:8" x14ac:dyDescent="0.25">
      <c r="A119" s="1" t="s">
        <v>155</v>
      </c>
      <c r="B119">
        <v>0</v>
      </c>
      <c r="C119">
        <v>-1</v>
      </c>
      <c r="D119" t="s">
        <v>19</v>
      </c>
      <c r="E119" t="str">
        <f t="shared" si="6"/>
        <v>S1</v>
      </c>
      <c r="F119" t="str">
        <f t="shared" si="4"/>
        <v>PID_A0</v>
      </c>
      <c r="H119" t="str">
        <f t="shared" si="5"/>
        <v>PIDsSupported_A1_C0</v>
      </c>
    </row>
    <row r="120" spans="1:8" x14ac:dyDescent="0.25">
      <c r="A120" s="1" t="s">
        <v>156</v>
      </c>
      <c r="B120">
        <v>0</v>
      </c>
      <c r="C120">
        <v>-1</v>
      </c>
      <c r="D120" t="s">
        <v>19</v>
      </c>
      <c r="E120" t="str">
        <f t="shared" si="6"/>
        <v>S1</v>
      </c>
      <c r="F120" t="str">
        <f t="shared" si="4"/>
        <v>PID_C0</v>
      </c>
      <c r="H120" t="str">
        <f t="shared" si="5"/>
        <v>PIDsSupported_C1_E0</v>
      </c>
    </row>
    <row r="121" spans="1:8" x14ac:dyDescent="0.25">
      <c r="A121" t="s">
        <v>157</v>
      </c>
      <c r="B121">
        <v>0</v>
      </c>
      <c r="C121">
        <v>65535</v>
      </c>
      <c r="D121" t="s">
        <v>19</v>
      </c>
      <c r="E121" t="str">
        <f t="shared" si="6"/>
        <v>S2</v>
      </c>
      <c r="F121" t="str">
        <f t="shared" si="4"/>
        <v>PID_02</v>
      </c>
      <c r="H121" t="str">
        <f t="shared" si="5"/>
        <v>FreezeDTC</v>
      </c>
    </row>
    <row r="122" spans="1:8" x14ac:dyDescent="0.25">
      <c r="A122" t="s">
        <v>158</v>
      </c>
      <c r="B122">
        <v>-100</v>
      </c>
      <c r="C122">
        <v>99.21875</v>
      </c>
      <c r="D122" t="s">
        <v>29</v>
      </c>
      <c r="E122" t="str">
        <f t="shared" si="6"/>
        <v>S1</v>
      </c>
      <c r="F122" t="str">
        <f t="shared" si="4"/>
        <v>PID_14</v>
      </c>
      <c r="H122" t="str">
        <f t="shared" si="5"/>
        <v>OxySensor1_STFT</v>
      </c>
    </row>
    <row r="123" spans="1:8" x14ac:dyDescent="0.25">
      <c r="A123" t="s">
        <v>159</v>
      </c>
      <c r="B123">
        <v>-100</v>
      </c>
      <c r="C123">
        <v>99.21875</v>
      </c>
      <c r="D123" t="s">
        <v>29</v>
      </c>
      <c r="E123" t="str">
        <f t="shared" si="6"/>
        <v>S1</v>
      </c>
      <c r="F123" t="str">
        <f t="shared" si="4"/>
        <v>PID_15</v>
      </c>
      <c r="H123" t="str">
        <f t="shared" si="5"/>
        <v>OxySensor2_STFT</v>
      </c>
    </row>
    <row r="124" spans="1:8" x14ac:dyDescent="0.25">
      <c r="A124" t="s">
        <v>160</v>
      </c>
      <c r="B124">
        <v>-100</v>
      </c>
      <c r="C124">
        <v>99.21875</v>
      </c>
      <c r="D124" t="s">
        <v>29</v>
      </c>
      <c r="E124" t="str">
        <f t="shared" si="6"/>
        <v>S1</v>
      </c>
      <c r="F124" t="str">
        <f t="shared" si="4"/>
        <v>PID_16</v>
      </c>
      <c r="H124" t="str">
        <f t="shared" si="5"/>
        <v>OxySensor3_STFT</v>
      </c>
    </row>
    <row r="125" spans="1:8" x14ac:dyDescent="0.25">
      <c r="A125" t="s">
        <v>161</v>
      </c>
      <c r="B125">
        <v>-100</v>
      </c>
      <c r="C125">
        <v>99.21875</v>
      </c>
      <c r="D125" t="s">
        <v>29</v>
      </c>
      <c r="E125" t="str">
        <f t="shared" si="6"/>
        <v>S1</v>
      </c>
      <c r="F125" t="str">
        <f t="shared" si="4"/>
        <v>PID_17</v>
      </c>
      <c r="H125" t="str">
        <f t="shared" si="5"/>
        <v>OxySensor4_STFT</v>
      </c>
    </row>
    <row r="126" spans="1:8" x14ac:dyDescent="0.25">
      <c r="A126" t="s">
        <v>162</v>
      </c>
      <c r="B126">
        <v>-100</v>
      </c>
      <c r="C126">
        <v>99.21875</v>
      </c>
      <c r="D126" t="s">
        <v>29</v>
      </c>
      <c r="E126" t="str">
        <f t="shared" si="6"/>
        <v>S1</v>
      </c>
      <c r="F126" t="str">
        <f t="shared" si="4"/>
        <v>PID_18</v>
      </c>
      <c r="H126" t="str">
        <f t="shared" si="5"/>
        <v>OxySensor5_STFT</v>
      </c>
    </row>
    <row r="127" spans="1:8" x14ac:dyDescent="0.25">
      <c r="A127" t="s">
        <v>163</v>
      </c>
      <c r="B127">
        <v>-100</v>
      </c>
      <c r="C127">
        <v>99.21875</v>
      </c>
      <c r="D127" t="s">
        <v>29</v>
      </c>
      <c r="E127" t="str">
        <f t="shared" si="6"/>
        <v>S1</v>
      </c>
      <c r="F127" t="str">
        <f t="shared" si="4"/>
        <v>PID_19</v>
      </c>
      <c r="H127" t="str">
        <f t="shared" si="5"/>
        <v>OxySensor6_STFT</v>
      </c>
    </row>
    <row r="128" spans="1:8" x14ac:dyDescent="0.25">
      <c r="A128" t="s">
        <v>164</v>
      </c>
      <c r="B128">
        <v>-100</v>
      </c>
      <c r="C128">
        <v>99.21875</v>
      </c>
      <c r="D128" t="s">
        <v>29</v>
      </c>
      <c r="E128" t="str">
        <f t="shared" si="6"/>
        <v>S1</v>
      </c>
      <c r="F128" t="str">
        <f t="shared" si="4"/>
        <v>PID_1A</v>
      </c>
      <c r="H128" t="str">
        <f t="shared" si="5"/>
        <v>OxySensor7_STFT</v>
      </c>
    </row>
    <row r="129" spans="1:8" x14ac:dyDescent="0.25">
      <c r="A129" t="s">
        <v>165</v>
      </c>
      <c r="B129">
        <v>-100</v>
      </c>
      <c r="C129">
        <v>99.21875</v>
      </c>
      <c r="D129" t="s">
        <v>29</v>
      </c>
      <c r="E129" t="str">
        <f t="shared" si="6"/>
        <v>S1</v>
      </c>
      <c r="F129" t="str">
        <f t="shared" si="4"/>
        <v>PID_1B</v>
      </c>
      <c r="H129" t="str">
        <f t="shared" si="5"/>
        <v>OxySensor8_STFT</v>
      </c>
    </row>
    <row r="130" spans="1:8" x14ac:dyDescent="0.25">
      <c r="A130" t="s">
        <v>166</v>
      </c>
      <c r="B130">
        <v>0</v>
      </c>
      <c r="C130">
        <v>255</v>
      </c>
      <c r="D130" t="s">
        <v>101</v>
      </c>
      <c r="E130" t="str">
        <f t="shared" si="6"/>
        <v>S1</v>
      </c>
      <c r="F130" t="str">
        <f t="shared" si="4"/>
        <v>PID_4F</v>
      </c>
      <c r="H130" t="str">
        <f t="shared" si="5"/>
        <v>Max_OxySensVol</v>
      </c>
    </row>
    <row r="131" spans="1:8" x14ac:dyDescent="0.25">
      <c r="A131" t="s">
        <v>167</v>
      </c>
      <c r="B131">
        <v>-100</v>
      </c>
      <c r="C131">
        <v>99.21875</v>
      </c>
      <c r="D131" t="s">
        <v>29</v>
      </c>
      <c r="E131" t="str">
        <f t="shared" si="6"/>
        <v>S1</v>
      </c>
      <c r="F131" t="str">
        <f t="shared" si="4"/>
        <v>PID_55</v>
      </c>
      <c r="H131" t="str">
        <f t="shared" si="5"/>
        <v>ShortSecOxyTrimBank3</v>
      </c>
    </row>
    <row r="132" spans="1:8" x14ac:dyDescent="0.25">
      <c r="A132" t="s">
        <v>168</v>
      </c>
      <c r="B132">
        <v>-100</v>
      </c>
      <c r="C132">
        <v>99.21875</v>
      </c>
      <c r="D132" t="s">
        <v>29</v>
      </c>
      <c r="E132" t="str">
        <f t="shared" si="6"/>
        <v>S1</v>
      </c>
      <c r="F132" t="str">
        <f t="shared" si="4"/>
        <v>PID_56</v>
      </c>
      <c r="H132" t="str">
        <f t="shared" si="5"/>
        <v>LongSecOxyTrimBank3</v>
      </c>
    </row>
    <row r="133" spans="1:8" x14ac:dyDescent="0.25">
      <c r="A133" t="s">
        <v>169</v>
      </c>
      <c r="B133">
        <v>-100</v>
      </c>
      <c r="C133">
        <v>99.21875</v>
      </c>
      <c r="D133" t="s">
        <v>29</v>
      </c>
      <c r="E133" t="str">
        <f t="shared" si="6"/>
        <v>S1</v>
      </c>
      <c r="F133" t="str">
        <f t="shared" si="4"/>
        <v>PID_57</v>
      </c>
      <c r="H133" t="str">
        <f t="shared" si="5"/>
        <v>ShortSecOxyTrimBank4</v>
      </c>
    </row>
    <row r="134" spans="1:8" x14ac:dyDescent="0.25">
      <c r="A134" t="s">
        <v>170</v>
      </c>
      <c r="B134">
        <v>-100</v>
      </c>
      <c r="C134">
        <v>99.21875</v>
      </c>
      <c r="D134" t="s">
        <v>29</v>
      </c>
      <c r="E134" t="str">
        <f t="shared" si="6"/>
        <v>S1</v>
      </c>
      <c r="F134" t="str">
        <f t="shared" si="4"/>
        <v>PID_58</v>
      </c>
      <c r="H134" t="str">
        <f t="shared" si="5"/>
        <v>LongSecOxyTrimBank4</v>
      </c>
    </row>
    <row r="135" spans="1:8" x14ac:dyDescent="0.25">
      <c r="A135" t="s">
        <v>171</v>
      </c>
      <c r="B135">
        <v>-125</v>
      </c>
      <c r="C135">
        <v>130</v>
      </c>
      <c r="D135" t="s">
        <v>29</v>
      </c>
      <c r="E135" t="str">
        <f t="shared" si="6"/>
        <v>S1</v>
      </c>
      <c r="F135" t="str">
        <f t="shared" si="4"/>
        <v>PID_64</v>
      </c>
      <c r="H135" t="str">
        <f t="shared" si="5"/>
        <v>EngPctTorq_EP1</v>
      </c>
    </row>
    <row r="136" spans="1:8" x14ac:dyDescent="0.25">
      <c r="A136" t="s">
        <v>172</v>
      </c>
      <c r="B136">
        <v>0</v>
      </c>
      <c r="C136">
        <v>2</v>
      </c>
      <c r="D136" t="s">
        <v>51</v>
      </c>
      <c r="E136" t="str">
        <f t="shared" si="6"/>
        <v>S1</v>
      </c>
      <c r="F136" t="str">
        <f t="shared" ref="F136:F156" si="7">MID(A136,4,6)</f>
        <v>PID_24</v>
      </c>
      <c r="H136" t="str">
        <f t="shared" ref="H136:H156" si="8">RIGHT(A136, LEN(A136)-10)</f>
        <v>OxySensor1_Volt</v>
      </c>
    </row>
    <row r="137" spans="1:8" x14ac:dyDescent="0.25">
      <c r="A137" t="s">
        <v>173</v>
      </c>
      <c r="B137">
        <v>0</v>
      </c>
      <c r="C137">
        <v>8</v>
      </c>
      <c r="D137" t="s">
        <v>51</v>
      </c>
      <c r="E137" t="str">
        <f t="shared" si="6"/>
        <v>S1</v>
      </c>
      <c r="F137" t="str">
        <f t="shared" si="7"/>
        <v>PID_25</v>
      </c>
      <c r="H137" t="str">
        <f t="shared" si="8"/>
        <v>OxySensor2_Volt</v>
      </c>
    </row>
    <row r="138" spans="1:8" x14ac:dyDescent="0.25">
      <c r="A138" t="s">
        <v>174</v>
      </c>
      <c r="B138">
        <v>0</v>
      </c>
      <c r="C138">
        <v>8</v>
      </c>
      <c r="D138" t="s">
        <v>51</v>
      </c>
      <c r="E138" t="str">
        <f t="shared" si="6"/>
        <v>S1</v>
      </c>
      <c r="F138" t="str">
        <f t="shared" si="7"/>
        <v>PID_26</v>
      </c>
      <c r="H138" t="str">
        <f t="shared" si="8"/>
        <v>OxySensor3_Volt</v>
      </c>
    </row>
    <row r="139" spans="1:8" x14ac:dyDescent="0.25">
      <c r="A139" t="s">
        <v>175</v>
      </c>
      <c r="B139">
        <v>0</v>
      </c>
      <c r="C139">
        <v>8</v>
      </c>
      <c r="D139" t="s">
        <v>51</v>
      </c>
      <c r="E139" t="str">
        <f t="shared" si="6"/>
        <v>S1</v>
      </c>
      <c r="F139" t="str">
        <f t="shared" si="7"/>
        <v>PID_27</v>
      </c>
      <c r="H139" t="str">
        <f t="shared" si="8"/>
        <v>OxySensor4_Volt</v>
      </c>
    </row>
    <row r="140" spans="1:8" x14ac:dyDescent="0.25">
      <c r="A140" t="s">
        <v>176</v>
      </c>
      <c r="B140">
        <v>0</v>
      </c>
      <c r="C140">
        <v>8</v>
      </c>
      <c r="D140" t="s">
        <v>51</v>
      </c>
      <c r="E140" t="str">
        <f t="shared" si="6"/>
        <v>S1</v>
      </c>
      <c r="F140" t="str">
        <f t="shared" si="7"/>
        <v>PID_28</v>
      </c>
      <c r="H140" t="str">
        <f t="shared" si="8"/>
        <v>OxySensor5_Volt</v>
      </c>
    </row>
    <row r="141" spans="1:8" x14ac:dyDescent="0.25">
      <c r="A141" t="s">
        <v>177</v>
      </c>
      <c r="B141">
        <v>0</v>
      </c>
      <c r="C141">
        <v>8</v>
      </c>
      <c r="D141" t="s">
        <v>51</v>
      </c>
      <c r="E141" t="str">
        <f t="shared" si="6"/>
        <v>S1</v>
      </c>
      <c r="F141" t="str">
        <f t="shared" si="7"/>
        <v>PID_29</v>
      </c>
      <c r="H141" t="str">
        <f t="shared" si="8"/>
        <v>OxySensor6_Volt</v>
      </c>
    </row>
    <row r="142" spans="1:8" x14ac:dyDescent="0.25">
      <c r="A142" t="s">
        <v>178</v>
      </c>
      <c r="B142">
        <v>0</v>
      </c>
      <c r="C142">
        <v>8</v>
      </c>
      <c r="D142" t="s">
        <v>51</v>
      </c>
      <c r="E142" t="str">
        <f t="shared" si="6"/>
        <v>S1</v>
      </c>
      <c r="F142" t="str">
        <f t="shared" si="7"/>
        <v>PID_2A</v>
      </c>
      <c r="H142" t="str">
        <f t="shared" si="8"/>
        <v>OxySensor7_Volt</v>
      </c>
    </row>
    <row r="143" spans="1:8" x14ac:dyDescent="0.25">
      <c r="A143" t="s">
        <v>179</v>
      </c>
      <c r="B143">
        <v>0</v>
      </c>
      <c r="C143">
        <v>8</v>
      </c>
      <c r="D143" t="s">
        <v>51</v>
      </c>
      <c r="E143" t="str">
        <f t="shared" si="6"/>
        <v>S1</v>
      </c>
      <c r="F143" t="str">
        <f t="shared" si="7"/>
        <v>PID_2B</v>
      </c>
      <c r="H143" t="str">
        <f t="shared" si="8"/>
        <v>OxySensor8_Volt</v>
      </c>
    </row>
    <row r="144" spans="1:8" x14ac:dyDescent="0.25">
      <c r="A144" t="s">
        <v>180</v>
      </c>
      <c r="B144">
        <v>-128</v>
      </c>
      <c r="C144">
        <v>128</v>
      </c>
      <c r="D144" t="s">
        <v>181</v>
      </c>
      <c r="E144" t="str">
        <f t="shared" si="6"/>
        <v>S1</v>
      </c>
      <c r="F144" t="str">
        <f t="shared" si="7"/>
        <v>PID_34</v>
      </c>
      <c r="H144" t="str">
        <f t="shared" si="8"/>
        <v>OxySensor1_Crnt</v>
      </c>
    </row>
    <row r="145" spans="1:8" x14ac:dyDescent="0.25">
      <c r="A145" t="s">
        <v>182</v>
      </c>
      <c r="B145">
        <v>-128</v>
      </c>
      <c r="C145">
        <v>128</v>
      </c>
      <c r="D145" t="s">
        <v>181</v>
      </c>
      <c r="E145" t="str">
        <f t="shared" ref="E145:E156" si="9">MID(A145,1,2)</f>
        <v>S1</v>
      </c>
      <c r="F145" t="str">
        <f t="shared" si="7"/>
        <v>PID_35</v>
      </c>
      <c r="H145" t="str">
        <f t="shared" si="8"/>
        <v>OxySensor2_Crnt</v>
      </c>
    </row>
    <row r="146" spans="1:8" x14ac:dyDescent="0.25">
      <c r="A146" t="s">
        <v>183</v>
      </c>
      <c r="B146">
        <v>-128</v>
      </c>
      <c r="C146">
        <v>128</v>
      </c>
      <c r="D146" t="s">
        <v>181</v>
      </c>
      <c r="E146" t="str">
        <f t="shared" si="9"/>
        <v>S1</v>
      </c>
      <c r="F146" t="str">
        <f t="shared" si="7"/>
        <v>PID_36</v>
      </c>
      <c r="H146" t="str">
        <f t="shared" si="8"/>
        <v>OxySensor3_Crnt</v>
      </c>
    </row>
    <row r="147" spans="1:8" x14ac:dyDescent="0.25">
      <c r="A147" t="s">
        <v>184</v>
      </c>
      <c r="B147">
        <v>-128</v>
      </c>
      <c r="C147">
        <v>128</v>
      </c>
      <c r="D147" t="s">
        <v>181</v>
      </c>
      <c r="E147" t="str">
        <f t="shared" si="9"/>
        <v>S1</v>
      </c>
      <c r="F147" t="str">
        <f t="shared" si="7"/>
        <v>PID_37</v>
      </c>
      <c r="H147" t="str">
        <f t="shared" si="8"/>
        <v>OxySensor4_Crnt</v>
      </c>
    </row>
    <row r="148" spans="1:8" x14ac:dyDescent="0.25">
      <c r="A148" t="s">
        <v>185</v>
      </c>
      <c r="B148">
        <v>-128</v>
      </c>
      <c r="C148">
        <v>128</v>
      </c>
      <c r="D148" t="s">
        <v>181</v>
      </c>
      <c r="E148" t="str">
        <f t="shared" si="9"/>
        <v>S1</v>
      </c>
      <c r="F148" t="str">
        <f t="shared" si="7"/>
        <v>PID_38</v>
      </c>
      <c r="H148" t="str">
        <f t="shared" si="8"/>
        <v>OxySensor5_Crnt</v>
      </c>
    </row>
    <row r="149" spans="1:8" x14ac:dyDescent="0.25">
      <c r="A149" t="s">
        <v>186</v>
      </c>
      <c r="B149">
        <v>-128</v>
      </c>
      <c r="C149">
        <v>128</v>
      </c>
      <c r="D149" t="s">
        <v>181</v>
      </c>
      <c r="E149" t="str">
        <f t="shared" si="9"/>
        <v>S1</v>
      </c>
      <c r="F149" t="str">
        <f t="shared" si="7"/>
        <v>PID_39</v>
      </c>
      <c r="H149" t="str">
        <f t="shared" si="8"/>
        <v>OxySensor6_Crnt</v>
      </c>
    </row>
    <row r="150" spans="1:8" x14ac:dyDescent="0.25">
      <c r="A150" t="s">
        <v>187</v>
      </c>
      <c r="B150">
        <v>-128</v>
      </c>
      <c r="C150">
        <v>128</v>
      </c>
      <c r="D150" t="s">
        <v>181</v>
      </c>
      <c r="E150" t="str">
        <f t="shared" si="9"/>
        <v>S1</v>
      </c>
      <c r="F150" t="str">
        <f t="shared" si="7"/>
        <v>PID_3A</v>
      </c>
      <c r="H150" t="str">
        <f t="shared" si="8"/>
        <v>OxySensor7_Crnt</v>
      </c>
    </row>
    <row r="151" spans="1:8" x14ac:dyDescent="0.25">
      <c r="A151" t="s">
        <v>188</v>
      </c>
      <c r="B151">
        <v>-128</v>
      </c>
      <c r="C151">
        <v>128</v>
      </c>
      <c r="D151" t="s">
        <v>181</v>
      </c>
      <c r="E151" t="str">
        <f t="shared" si="9"/>
        <v>S1</v>
      </c>
      <c r="F151" t="str">
        <f t="shared" si="7"/>
        <v>PID_3B</v>
      </c>
      <c r="H151" t="str">
        <f t="shared" si="8"/>
        <v>OxySensor8_Crnt</v>
      </c>
    </row>
    <row r="152" spans="1:8" x14ac:dyDescent="0.25">
      <c r="A152" t="s">
        <v>189</v>
      </c>
      <c r="B152">
        <v>0</v>
      </c>
      <c r="C152">
        <v>255</v>
      </c>
      <c r="D152" t="s">
        <v>181</v>
      </c>
      <c r="E152" t="str">
        <f t="shared" si="9"/>
        <v>S1</v>
      </c>
      <c r="F152" t="str">
        <f t="shared" si="7"/>
        <v>PID_4F</v>
      </c>
      <c r="H152" t="str">
        <f t="shared" si="8"/>
        <v>Max_OxySensCrnt</v>
      </c>
    </row>
    <row r="153" spans="1:8" x14ac:dyDescent="0.25">
      <c r="A153" t="s">
        <v>190</v>
      </c>
      <c r="B153">
        <v>-125</v>
      </c>
      <c r="C153">
        <v>130</v>
      </c>
      <c r="D153" t="s">
        <v>29</v>
      </c>
      <c r="E153" t="str">
        <f t="shared" si="9"/>
        <v>S1</v>
      </c>
      <c r="F153" t="str">
        <f t="shared" si="7"/>
        <v>PID_64</v>
      </c>
      <c r="H153" t="str">
        <f t="shared" si="8"/>
        <v>EngPctTorq_EP2</v>
      </c>
    </row>
    <row r="154" spans="1:8" x14ac:dyDescent="0.25">
      <c r="A154" t="s">
        <v>191</v>
      </c>
      <c r="B154">
        <v>0</v>
      </c>
      <c r="C154">
        <v>2550</v>
      </c>
      <c r="D154" t="s">
        <v>37</v>
      </c>
      <c r="E154" t="str">
        <f t="shared" si="9"/>
        <v>S1</v>
      </c>
      <c r="F154" t="str">
        <f t="shared" si="7"/>
        <v>PID_4F</v>
      </c>
      <c r="H154" t="str">
        <f t="shared" si="8"/>
        <v>Max_IntManiAbsPres</v>
      </c>
    </row>
    <row r="155" spans="1:8" x14ac:dyDescent="0.25">
      <c r="A155" t="s">
        <v>192</v>
      </c>
      <c r="B155">
        <v>-125</v>
      </c>
      <c r="C155">
        <v>130</v>
      </c>
      <c r="D155" t="s">
        <v>29</v>
      </c>
      <c r="E155" t="str">
        <f t="shared" si="9"/>
        <v>S1</v>
      </c>
      <c r="F155" t="str">
        <f t="shared" si="7"/>
        <v>PID_64</v>
      </c>
      <c r="H155" t="str">
        <f t="shared" si="8"/>
        <v>EngPctTorq_EP3</v>
      </c>
    </row>
    <row r="156" spans="1:8" x14ac:dyDescent="0.25">
      <c r="A156" t="s">
        <v>193</v>
      </c>
      <c r="B156">
        <v>-125</v>
      </c>
      <c r="C156">
        <v>130</v>
      </c>
      <c r="D156" t="s">
        <v>29</v>
      </c>
      <c r="E156" t="str">
        <f t="shared" si="9"/>
        <v>S1</v>
      </c>
      <c r="F156" t="str">
        <f t="shared" si="7"/>
        <v>PID_64</v>
      </c>
      <c r="H156" t="str">
        <f t="shared" si="8"/>
        <v>EngPctTorq_EP4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3B20-18CE-4969-AED2-71465AFE70AA}">
  <dimension ref="A1:V206"/>
  <sheetViews>
    <sheetView tabSelected="1" topLeftCell="I1" workbookViewId="0">
      <pane ySplit="1" topLeftCell="A2" activePane="bottomLeft" state="frozen"/>
      <selection pane="bottomLeft" activeCell="V2" sqref="V2:V206"/>
    </sheetView>
  </sheetViews>
  <sheetFormatPr defaultRowHeight="15" x14ac:dyDescent="0.25"/>
  <cols>
    <col min="4" max="5" width="12.140625" bestFit="1" customWidth="1"/>
    <col min="6" max="7" width="20.28515625" customWidth="1"/>
    <col min="8" max="8" width="31" bestFit="1" customWidth="1"/>
    <col min="9" max="10" width="41.28515625" customWidth="1"/>
    <col min="11" max="11" width="36.7109375" bestFit="1" customWidth="1"/>
    <col min="12" max="15" width="0" hidden="1" customWidth="1"/>
    <col min="19" max="21" width="0" hidden="1" customWidth="1"/>
  </cols>
  <sheetData>
    <row r="1" spans="1:22" x14ac:dyDescent="0.25">
      <c r="A1" t="s">
        <v>0</v>
      </c>
      <c r="B1" t="s">
        <v>222</v>
      </c>
      <c r="C1" t="s">
        <v>223</v>
      </c>
      <c r="D1" t="s">
        <v>3</v>
      </c>
      <c r="E1" t="s">
        <v>3</v>
      </c>
      <c r="F1" t="s">
        <v>913</v>
      </c>
      <c r="H1" t="s">
        <v>842</v>
      </c>
      <c r="I1" t="s">
        <v>843</v>
      </c>
      <c r="J1" t="s">
        <v>843</v>
      </c>
      <c r="K1" t="s">
        <v>719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</row>
    <row r="2" spans="1:22" x14ac:dyDescent="0.25">
      <c r="A2" t="s">
        <v>720</v>
      </c>
      <c r="B2">
        <v>0</v>
      </c>
      <c r="C2">
        <v>0</v>
      </c>
      <c r="D2" t="str">
        <f>DEC2HEX(B2,2)</f>
        <v>00</v>
      </c>
      <c r="E2" t="s">
        <v>721</v>
      </c>
      <c r="F2" t="str">
        <f>"0201"&amp;E2&amp;"5555555555"</f>
        <v>0201005555555555</v>
      </c>
      <c r="G2" t="s">
        <v>914</v>
      </c>
      <c r="H2" t="s">
        <v>235</v>
      </c>
      <c r="I2" t="str">
        <f>A2&amp;"_PID_"&amp;E2&amp;"_"&amp;H2</f>
        <v>S1_PID_00_PIDsSupported_01_20</v>
      </c>
      <c r="J2" t="s">
        <v>24</v>
      </c>
      <c r="K2" t="s">
        <v>236</v>
      </c>
      <c r="L2">
        <v>31</v>
      </c>
      <c r="M2">
        <v>32</v>
      </c>
      <c r="N2">
        <v>1</v>
      </c>
      <c r="O2">
        <v>0</v>
      </c>
      <c r="R2" t="s">
        <v>237</v>
      </c>
      <c r="S2">
        <v>1</v>
      </c>
      <c r="U2" t="s">
        <v>238</v>
      </c>
      <c r="V2" t="str">
        <f>IF(R2="","N/A",R2)</f>
        <v>Encoded</v>
      </c>
    </row>
    <row r="3" spans="1:22" x14ac:dyDescent="0.25">
      <c r="A3" t="s">
        <v>720</v>
      </c>
      <c r="B3">
        <v>1</v>
      </c>
      <c r="C3">
        <v>1</v>
      </c>
      <c r="D3" t="str">
        <f t="shared" ref="D3:D66" si="0">DEC2HEX(B3,2)</f>
        <v>01</v>
      </c>
      <c r="E3" t="s">
        <v>194</v>
      </c>
      <c r="F3" t="str">
        <f t="shared" ref="F3:G66" si="1">"0201"&amp;E3&amp;"5555555555"</f>
        <v>0201015555555555</v>
      </c>
      <c r="G3" t="s">
        <v>915</v>
      </c>
      <c r="H3" t="s">
        <v>239</v>
      </c>
      <c r="I3" t="str">
        <f t="shared" ref="I3:I66" si="2">A3&amp;"_PID_"&amp;E3&amp;"_"&amp;H3</f>
        <v>S1_PID_01_MonitorStatus</v>
      </c>
      <c r="J3" t="s">
        <v>25</v>
      </c>
      <c r="K3" t="s">
        <v>240</v>
      </c>
      <c r="L3">
        <v>31</v>
      </c>
      <c r="M3">
        <v>32</v>
      </c>
      <c r="N3">
        <v>1</v>
      </c>
      <c r="O3">
        <v>0</v>
      </c>
      <c r="R3" t="s">
        <v>237</v>
      </c>
      <c r="S3">
        <v>1</v>
      </c>
      <c r="U3" t="s">
        <v>238</v>
      </c>
      <c r="V3" t="str">
        <f t="shared" ref="V3:V66" si="3">IF(R3="","N/A",R3)</f>
        <v>Encoded</v>
      </c>
    </row>
    <row r="4" spans="1:22" x14ac:dyDescent="0.25">
      <c r="A4" t="s">
        <v>720</v>
      </c>
      <c r="B4">
        <v>2</v>
      </c>
      <c r="C4">
        <v>2</v>
      </c>
      <c r="D4" t="str">
        <f t="shared" si="0"/>
        <v>02</v>
      </c>
      <c r="E4" t="s">
        <v>195</v>
      </c>
      <c r="F4" t="str">
        <f t="shared" si="1"/>
        <v>0201025555555555</v>
      </c>
      <c r="G4" t="s">
        <v>916</v>
      </c>
      <c r="H4" t="s">
        <v>241</v>
      </c>
      <c r="I4" t="str">
        <f t="shared" si="2"/>
        <v>S1_PID_02_FreezeDTC</v>
      </c>
      <c r="J4" t="s">
        <v>26</v>
      </c>
      <c r="K4" t="s">
        <v>242</v>
      </c>
      <c r="L4">
        <v>31</v>
      </c>
      <c r="M4">
        <v>16</v>
      </c>
      <c r="N4">
        <v>1</v>
      </c>
      <c r="O4">
        <v>0</v>
      </c>
      <c r="R4" t="s">
        <v>237</v>
      </c>
      <c r="S4">
        <v>1</v>
      </c>
      <c r="U4" t="s">
        <v>243</v>
      </c>
      <c r="V4" t="str">
        <f t="shared" si="3"/>
        <v>Encoded</v>
      </c>
    </row>
    <row r="5" spans="1:22" x14ac:dyDescent="0.25">
      <c r="A5" t="s">
        <v>720</v>
      </c>
      <c r="B5">
        <v>3</v>
      </c>
      <c r="C5">
        <v>3</v>
      </c>
      <c r="D5" t="str">
        <f t="shared" si="0"/>
        <v>03</v>
      </c>
      <c r="E5" t="s">
        <v>196</v>
      </c>
      <c r="F5" t="str">
        <f t="shared" si="1"/>
        <v>0201035555555555</v>
      </c>
      <c r="G5" t="s">
        <v>917</v>
      </c>
      <c r="H5" t="s">
        <v>244</v>
      </c>
      <c r="I5" t="str">
        <f t="shared" si="2"/>
        <v>S1_PID_03_FuelSystemStatus</v>
      </c>
      <c r="J5" t="s">
        <v>27</v>
      </c>
      <c r="K5" t="s">
        <v>245</v>
      </c>
      <c r="L5">
        <v>31</v>
      </c>
      <c r="M5">
        <v>16</v>
      </c>
      <c r="N5">
        <v>1</v>
      </c>
      <c r="O5">
        <v>0</v>
      </c>
      <c r="R5" t="s">
        <v>237</v>
      </c>
      <c r="S5">
        <v>1</v>
      </c>
      <c r="U5" t="s">
        <v>243</v>
      </c>
      <c r="V5" t="str">
        <f t="shared" si="3"/>
        <v>Encoded</v>
      </c>
    </row>
    <row r="6" spans="1:22" x14ac:dyDescent="0.25">
      <c r="A6" t="s">
        <v>720</v>
      </c>
      <c r="B6">
        <v>4</v>
      </c>
      <c r="C6">
        <v>4</v>
      </c>
      <c r="D6" t="str">
        <f>DEC2HEX(B6,2)</f>
        <v>04</v>
      </c>
      <c r="E6" t="s">
        <v>197</v>
      </c>
      <c r="F6" t="str">
        <f t="shared" si="1"/>
        <v>0201045555555555</v>
      </c>
      <c r="G6" t="s">
        <v>918</v>
      </c>
      <c r="H6" t="s">
        <v>246</v>
      </c>
      <c r="I6" t="str">
        <f t="shared" si="2"/>
        <v>S1_PID_04_CalcEngineLoad</v>
      </c>
      <c r="J6" t="s">
        <v>28</v>
      </c>
      <c r="K6" t="s">
        <v>247</v>
      </c>
      <c r="L6">
        <v>31</v>
      </c>
      <c r="M6">
        <v>8</v>
      </c>
      <c r="N6">
        <v>0.3921568627</v>
      </c>
      <c r="O6">
        <v>0</v>
      </c>
      <c r="P6">
        <v>0</v>
      </c>
      <c r="Q6">
        <v>100</v>
      </c>
      <c r="R6" t="s">
        <v>29</v>
      </c>
      <c r="S6" t="s">
        <v>248</v>
      </c>
      <c r="T6" t="s">
        <v>249</v>
      </c>
      <c r="U6" t="s">
        <v>250</v>
      </c>
      <c r="V6" t="str">
        <f t="shared" si="3"/>
        <v>%</v>
      </c>
    </row>
    <row r="7" spans="1:22" x14ac:dyDescent="0.25">
      <c r="A7" t="s">
        <v>720</v>
      </c>
      <c r="B7">
        <v>5</v>
      </c>
      <c r="C7">
        <v>5</v>
      </c>
      <c r="D7" t="str">
        <f t="shared" si="0"/>
        <v>05</v>
      </c>
      <c r="E7" t="s">
        <v>198</v>
      </c>
      <c r="F7" t="str">
        <f t="shared" si="1"/>
        <v>0201055555555555</v>
      </c>
      <c r="G7" t="s">
        <v>919</v>
      </c>
      <c r="H7" t="s">
        <v>251</v>
      </c>
      <c r="I7" t="str">
        <f t="shared" si="2"/>
        <v>S1_PID_05_EngineCoolantTemp</v>
      </c>
      <c r="J7" t="s">
        <v>30</v>
      </c>
      <c r="K7" t="s">
        <v>252</v>
      </c>
      <c r="L7">
        <v>31</v>
      </c>
      <c r="M7">
        <v>8</v>
      </c>
      <c r="N7">
        <v>1</v>
      </c>
      <c r="O7">
        <v>-40</v>
      </c>
      <c r="P7">
        <v>-40</v>
      </c>
      <c r="Q7">
        <v>215</v>
      </c>
      <c r="R7" t="s">
        <v>31</v>
      </c>
      <c r="S7">
        <v>1</v>
      </c>
      <c r="T7" t="s">
        <v>253</v>
      </c>
      <c r="U7" t="s">
        <v>250</v>
      </c>
      <c r="V7" t="str">
        <f t="shared" si="3"/>
        <v>degC</v>
      </c>
    </row>
    <row r="8" spans="1:22" x14ac:dyDescent="0.25">
      <c r="A8" t="s">
        <v>720</v>
      </c>
      <c r="B8">
        <v>6</v>
      </c>
      <c r="C8">
        <v>6</v>
      </c>
      <c r="D8" t="str">
        <f t="shared" si="0"/>
        <v>06</v>
      </c>
      <c r="E8" t="s">
        <v>199</v>
      </c>
      <c r="F8" t="str">
        <f t="shared" si="1"/>
        <v>0201065555555555</v>
      </c>
      <c r="G8" t="s">
        <v>920</v>
      </c>
      <c r="H8" t="s">
        <v>254</v>
      </c>
      <c r="I8" t="str">
        <f t="shared" si="2"/>
        <v>S1_PID_06_ShortFuelTrimBank1</v>
      </c>
      <c r="J8" t="s">
        <v>32</v>
      </c>
      <c r="K8" t="s">
        <v>255</v>
      </c>
      <c r="L8">
        <v>31</v>
      </c>
      <c r="M8">
        <v>8</v>
      </c>
      <c r="N8">
        <v>0.78125</v>
      </c>
      <c r="O8">
        <v>-100</v>
      </c>
      <c r="P8">
        <v>-100</v>
      </c>
      <c r="Q8">
        <v>99</v>
      </c>
      <c r="R8" t="s">
        <v>29</v>
      </c>
      <c r="S8" t="s">
        <v>256</v>
      </c>
      <c r="T8" t="s">
        <v>257</v>
      </c>
      <c r="U8" t="s">
        <v>250</v>
      </c>
      <c r="V8" t="str">
        <f t="shared" si="3"/>
        <v>%</v>
      </c>
    </row>
    <row r="9" spans="1:22" x14ac:dyDescent="0.25">
      <c r="A9" t="s">
        <v>720</v>
      </c>
      <c r="B9">
        <v>7</v>
      </c>
      <c r="C9">
        <v>7</v>
      </c>
      <c r="D9" t="str">
        <f t="shared" si="0"/>
        <v>07</v>
      </c>
      <c r="E9" t="s">
        <v>200</v>
      </c>
      <c r="F9" t="str">
        <f t="shared" si="1"/>
        <v>0201075555555555</v>
      </c>
      <c r="G9" t="s">
        <v>921</v>
      </c>
      <c r="H9" t="s">
        <v>258</v>
      </c>
      <c r="I9" t="str">
        <f t="shared" si="2"/>
        <v>S1_PID_07_LongFuelTrimBank1</v>
      </c>
      <c r="J9" t="s">
        <v>33</v>
      </c>
      <c r="K9" t="s">
        <v>259</v>
      </c>
      <c r="L9">
        <v>31</v>
      </c>
      <c r="M9">
        <v>8</v>
      </c>
      <c r="N9">
        <v>0.78125</v>
      </c>
      <c r="O9">
        <v>-100</v>
      </c>
      <c r="P9">
        <v>-100</v>
      </c>
      <c r="Q9">
        <v>99</v>
      </c>
      <c r="R9" t="s">
        <v>29</v>
      </c>
      <c r="S9" t="s">
        <v>256</v>
      </c>
      <c r="T9" t="s">
        <v>257</v>
      </c>
      <c r="U9" t="s">
        <v>250</v>
      </c>
      <c r="V9" t="str">
        <f t="shared" si="3"/>
        <v>%</v>
      </c>
    </row>
    <row r="10" spans="1:22" x14ac:dyDescent="0.25">
      <c r="A10" t="s">
        <v>720</v>
      </c>
      <c r="B10">
        <v>8</v>
      </c>
      <c r="C10">
        <v>8</v>
      </c>
      <c r="D10" t="str">
        <f t="shared" si="0"/>
        <v>08</v>
      </c>
      <c r="E10" t="s">
        <v>201</v>
      </c>
      <c r="F10" t="str">
        <f t="shared" si="1"/>
        <v>0201085555555555</v>
      </c>
      <c r="G10" t="s">
        <v>922</v>
      </c>
      <c r="H10" t="s">
        <v>260</v>
      </c>
      <c r="I10" t="str">
        <f t="shared" si="2"/>
        <v>S1_PID_08_ShortFuelTrimBank2</v>
      </c>
      <c r="J10" t="s">
        <v>34</v>
      </c>
      <c r="K10" t="s">
        <v>261</v>
      </c>
      <c r="L10">
        <v>31</v>
      </c>
      <c r="M10">
        <v>8</v>
      </c>
      <c r="N10">
        <v>0.78125</v>
      </c>
      <c r="O10">
        <v>-100</v>
      </c>
      <c r="P10">
        <v>-100</v>
      </c>
      <c r="Q10">
        <v>99</v>
      </c>
      <c r="R10" t="s">
        <v>29</v>
      </c>
      <c r="S10" t="s">
        <v>256</v>
      </c>
      <c r="T10" t="s">
        <v>257</v>
      </c>
      <c r="U10" t="s">
        <v>250</v>
      </c>
      <c r="V10" t="str">
        <f t="shared" si="3"/>
        <v>%</v>
      </c>
    </row>
    <row r="11" spans="1:22" x14ac:dyDescent="0.25">
      <c r="A11" t="s">
        <v>720</v>
      </c>
      <c r="B11">
        <v>9</v>
      </c>
      <c r="C11">
        <v>9</v>
      </c>
      <c r="D11" t="str">
        <f t="shared" si="0"/>
        <v>09</v>
      </c>
      <c r="E11" t="s">
        <v>202</v>
      </c>
      <c r="F11" t="str">
        <f t="shared" si="1"/>
        <v>0201095555555555</v>
      </c>
      <c r="G11" t="s">
        <v>923</v>
      </c>
      <c r="H11" t="s">
        <v>262</v>
      </c>
      <c r="I11" t="str">
        <f t="shared" si="2"/>
        <v>S1_PID_09_LongFuelTrimBank2</v>
      </c>
      <c r="J11" t="s">
        <v>35</v>
      </c>
      <c r="K11" t="s">
        <v>263</v>
      </c>
      <c r="L11">
        <v>31</v>
      </c>
      <c r="M11">
        <v>8</v>
      </c>
      <c r="N11">
        <v>0.78125</v>
      </c>
      <c r="O11">
        <v>-100</v>
      </c>
      <c r="P11">
        <v>-100</v>
      </c>
      <c r="Q11">
        <v>99</v>
      </c>
      <c r="R11" t="s">
        <v>29</v>
      </c>
      <c r="S11" t="s">
        <v>256</v>
      </c>
      <c r="T11" t="s">
        <v>257</v>
      </c>
      <c r="U11" t="s">
        <v>250</v>
      </c>
      <c r="V11" t="str">
        <f t="shared" si="3"/>
        <v>%</v>
      </c>
    </row>
    <row r="12" spans="1:22" x14ac:dyDescent="0.25">
      <c r="A12" t="s">
        <v>720</v>
      </c>
      <c r="B12">
        <v>10</v>
      </c>
      <c r="C12" t="s">
        <v>204</v>
      </c>
      <c r="D12" t="str">
        <f t="shared" si="0"/>
        <v>0A</v>
      </c>
      <c r="E12" t="s">
        <v>204</v>
      </c>
      <c r="F12" t="str">
        <f t="shared" si="1"/>
        <v>02010A5555555555</v>
      </c>
      <c r="G12" t="s">
        <v>924</v>
      </c>
      <c r="H12" t="s">
        <v>264</v>
      </c>
      <c r="I12" t="str">
        <f t="shared" si="2"/>
        <v>S1_PID_0A_FuelPressure</v>
      </c>
      <c r="J12" t="s">
        <v>36</v>
      </c>
      <c r="K12" t="s">
        <v>265</v>
      </c>
      <c r="L12">
        <v>31</v>
      </c>
      <c r="M12">
        <v>8</v>
      </c>
      <c r="N12">
        <v>3</v>
      </c>
      <c r="O12">
        <v>0</v>
      </c>
      <c r="P12">
        <v>0</v>
      </c>
      <c r="Q12">
        <v>765</v>
      </c>
      <c r="R12" t="s">
        <v>37</v>
      </c>
      <c r="S12">
        <v>3</v>
      </c>
      <c r="T12" t="s">
        <v>266</v>
      </c>
      <c r="U12" t="s">
        <v>250</v>
      </c>
      <c r="V12" t="str">
        <f t="shared" si="3"/>
        <v>kPa</v>
      </c>
    </row>
    <row r="13" spans="1:22" x14ac:dyDescent="0.25">
      <c r="A13" t="s">
        <v>720</v>
      </c>
      <c r="B13">
        <v>11</v>
      </c>
      <c r="C13" t="s">
        <v>267</v>
      </c>
      <c r="D13" t="str">
        <f t="shared" si="0"/>
        <v>0B</v>
      </c>
      <c r="E13" t="s">
        <v>267</v>
      </c>
      <c r="F13" t="str">
        <f t="shared" si="1"/>
        <v>02010B5555555555</v>
      </c>
      <c r="G13" t="s">
        <v>925</v>
      </c>
      <c r="H13" t="s">
        <v>268</v>
      </c>
      <c r="I13" t="str">
        <f t="shared" si="2"/>
        <v>S1_PID_0B_IntakeManiAbsPress</v>
      </c>
      <c r="J13" t="s">
        <v>38</v>
      </c>
      <c r="K13" t="s">
        <v>269</v>
      </c>
      <c r="L13">
        <v>31</v>
      </c>
      <c r="M13">
        <v>8</v>
      </c>
      <c r="N13">
        <v>1</v>
      </c>
      <c r="O13">
        <v>0</v>
      </c>
      <c r="P13">
        <v>0</v>
      </c>
      <c r="Q13">
        <v>255</v>
      </c>
      <c r="R13" t="s">
        <v>37</v>
      </c>
      <c r="S13">
        <v>1</v>
      </c>
      <c r="T13" t="s">
        <v>270</v>
      </c>
      <c r="U13" t="s">
        <v>250</v>
      </c>
      <c r="V13" t="str">
        <f t="shared" si="3"/>
        <v>kPa</v>
      </c>
    </row>
    <row r="14" spans="1:22" x14ac:dyDescent="0.25">
      <c r="A14" t="s">
        <v>720</v>
      </c>
      <c r="B14">
        <v>12</v>
      </c>
      <c r="C14" t="s">
        <v>271</v>
      </c>
      <c r="D14" t="str">
        <f t="shared" si="0"/>
        <v>0C</v>
      </c>
      <c r="E14" t="s">
        <v>271</v>
      </c>
      <c r="F14" t="str">
        <f t="shared" si="1"/>
        <v>02010C5555555555</v>
      </c>
      <c r="G14" t="s">
        <v>926</v>
      </c>
      <c r="H14" t="s">
        <v>272</v>
      </c>
      <c r="I14" t="str">
        <f t="shared" si="2"/>
        <v>S1_PID_0C_EngineRPM</v>
      </c>
      <c r="J14" t="s">
        <v>39</v>
      </c>
      <c r="K14" t="s">
        <v>273</v>
      </c>
      <c r="L14">
        <v>31</v>
      </c>
      <c r="M14">
        <v>16</v>
      </c>
      <c r="N14">
        <v>0.25</v>
      </c>
      <c r="O14">
        <v>0</v>
      </c>
      <c r="P14">
        <v>0</v>
      </c>
      <c r="Q14">
        <v>16384</v>
      </c>
      <c r="R14" t="s">
        <v>40</v>
      </c>
      <c r="S14">
        <v>0.25</v>
      </c>
      <c r="T14" t="s">
        <v>274</v>
      </c>
      <c r="U14" t="s">
        <v>243</v>
      </c>
      <c r="V14" t="str">
        <f t="shared" si="3"/>
        <v>rpm</v>
      </c>
    </row>
    <row r="15" spans="1:22" x14ac:dyDescent="0.25">
      <c r="A15" t="s">
        <v>720</v>
      </c>
      <c r="B15">
        <v>13</v>
      </c>
      <c r="C15" t="s">
        <v>275</v>
      </c>
      <c r="D15" t="str">
        <f t="shared" si="0"/>
        <v>0D</v>
      </c>
      <c r="E15" t="s">
        <v>275</v>
      </c>
      <c r="F15" t="str">
        <f t="shared" si="1"/>
        <v>02010D5555555555</v>
      </c>
      <c r="G15" t="s">
        <v>927</v>
      </c>
      <c r="H15" t="s">
        <v>276</v>
      </c>
      <c r="I15" t="str">
        <f t="shared" si="2"/>
        <v>S1_PID_0D_VehicleSpeed</v>
      </c>
      <c r="J15" t="s">
        <v>41</v>
      </c>
      <c r="K15" t="s">
        <v>277</v>
      </c>
      <c r="L15">
        <v>31</v>
      </c>
      <c r="M15">
        <v>8</v>
      </c>
      <c r="N15">
        <v>1</v>
      </c>
      <c r="O15">
        <v>0</v>
      </c>
      <c r="P15">
        <v>0</v>
      </c>
      <c r="Q15">
        <v>255</v>
      </c>
      <c r="R15" t="s">
        <v>42</v>
      </c>
      <c r="S15">
        <v>1</v>
      </c>
      <c r="T15" t="s">
        <v>270</v>
      </c>
      <c r="U15" t="s">
        <v>250</v>
      </c>
      <c r="V15" t="str">
        <f t="shared" si="3"/>
        <v>km/h</v>
      </c>
    </row>
    <row r="16" spans="1:22" x14ac:dyDescent="0.25">
      <c r="A16" t="s">
        <v>720</v>
      </c>
      <c r="B16">
        <v>14</v>
      </c>
      <c r="C16" t="s">
        <v>278</v>
      </c>
      <c r="D16" t="str">
        <f t="shared" si="0"/>
        <v>0E</v>
      </c>
      <c r="E16" t="s">
        <v>278</v>
      </c>
      <c r="F16" t="str">
        <f t="shared" si="1"/>
        <v>02010E5555555555</v>
      </c>
      <c r="G16" t="s">
        <v>928</v>
      </c>
      <c r="H16" t="s">
        <v>279</v>
      </c>
      <c r="I16" t="str">
        <f t="shared" si="2"/>
        <v>S1_PID_0E_TimingAdvance</v>
      </c>
      <c r="J16" t="s">
        <v>43</v>
      </c>
      <c r="K16" t="s">
        <v>280</v>
      </c>
      <c r="L16">
        <v>31</v>
      </c>
      <c r="M16">
        <v>8</v>
      </c>
      <c r="N16">
        <v>0.5</v>
      </c>
      <c r="O16">
        <v>-64</v>
      </c>
      <c r="P16">
        <v>-64</v>
      </c>
      <c r="Q16">
        <v>64</v>
      </c>
      <c r="R16" t="s">
        <v>131</v>
      </c>
      <c r="S16">
        <v>0.5</v>
      </c>
      <c r="T16" t="s">
        <v>281</v>
      </c>
      <c r="U16" t="s">
        <v>250</v>
      </c>
      <c r="V16" t="str">
        <f t="shared" si="3"/>
        <v>deg</v>
      </c>
    </row>
    <row r="17" spans="1:22" x14ac:dyDescent="0.25">
      <c r="A17" t="s">
        <v>720</v>
      </c>
      <c r="B17">
        <v>15</v>
      </c>
      <c r="C17" t="s">
        <v>282</v>
      </c>
      <c r="D17" t="str">
        <f t="shared" si="0"/>
        <v>0F</v>
      </c>
      <c r="E17" t="s">
        <v>282</v>
      </c>
      <c r="F17" t="str">
        <f t="shared" si="1"/>
        <v>02010F5555555555</v>
      </c>
      <c r="G17" t="s">
        <v>929</v>
      </c>
      <c r="H17" t="s">
        <v>283</v>
      </c>
      <c r="I17" t="str">
        <f t="shared" si="2"/>
        <v>S1_PID_0F_IntakeAirTemperature</v>
      </c>
      <c r="J17" t="s">
        <v>45</v>
      </c>
      <c r="K17" t="s">
        <v>284</v>
      </c>
      <c r="L17">
        <v>31</v>
      </c>
      <c r="M17">
        <v>8</v>
      </c>
      <c r="N17">
        <v>1</v>
      </c>
      <c r="O17">
        <v>-40</v>
      </c>
      <c r="P17">
        <v>-40</v>
      </c>
      <c r="Q17">
        <v>215</v>
      </c>
      <c r="R17" t="s">
        <v>31</v>
      </c>
      <c r="S17">
        <v>1</v>
      </c>
      <c r="T17" t="s">
        <v>253</v>
      </c>
      <c r="U17" t="s">
        <v>250</v>
      </c>
      <c r="V17" t="str">
        <f t="shared" si="3"/>
        <v>degC</v>
      </c>
    </row>
    <row r="18" spans="1:22" x14ac:dyDescent="0.25">
      <c r="A18" t="s">
        <v>720</v>
      </c>
      <c r="B18">
        <v>16</v>
      </c>
      <c r="C18">
        <v>10</v>
      </c>
      <c r="D18" t="str">
        <f t="shared" si="0"/>
        <v>10</v>
      </c>
      <c r="E18" t="s">
        <v>203</v>
      </c>
      <c r="F18" t="str">
        <f t="shared" si="1"/>
        <v>0201105555555555</v>
      </c>
      <c r="G18" t="s">
        <v>930</v>
      </c>
      <c r="H18" t="s">
        <v>285</v>
      </c>
      <c r="I18" t="str">
        <f t="shared" si="2"/>
        <v>S1_PID_10_MAFAirFlowRate</v>
      </c>
      <c r="J18" t="s">
        <v>46</v>
      </c>
      <c r="K18" t="s">
        <v>286</v>
      </c>
      <c r="L18">
        <v>31</v>
      </c>
      <c r="M18">
        <v>16</v>
      </c>
      <c r="N18">
        <v>0.01</v>
      </c>
      <c r="O18">
        <v>0</v>
      </c>
      <c r="P18">
        <v>0</v>
      </c>
      <c r="Q18">
        <v>655</v>
      </c>
      <c r="R18" t="s">
        <v>47</v>
      </c>
      <c r="S18">
        <v>0.01</v>
      </c>
      <c r="T18" t="s">
        <v>287</v>
      </c>
      <c r="U18" t="s">
        <v>243</v>
      </c>
      <c r="V18" t="str">
        <f t="shared" si="3"/>
        <v>grams/sec</v>
      </c>
    </row>
    <row r="19" spans="1:22" x14ac:dyDescent="0.25">
      <c r="A19" t="s">
        <v>720</v>
      </c>
      <c r="B19">
        <v>17</v>
      </c>
      <c r="C19">
        <v>11</v>
      </c>
      <c r="D19" t="str">
        <f t="shared" si="0"/>
        <v>11</v>
      </c>
      <c r="E19" t="s">
        <v>722</v>
      </c>
      <c r="F19" t="str">
        <f t="shared" si="1"/>
        <v>0201115555555555</v>
      </c>
      <c r="G19" t="s">
        <v>931</v>
      </c>
      <c r="H19" t="s">
        <v>288</v>
      </c>
      <c r="I19" t="str">
        <f t="shared" si="2"/>
        <v>S1_PID_11_ThrottlePosition</v>
      </c>
      <c r="J19" t="s">
        <v>48</v>
      </c>
      <c r="K19" t="s">
        <v>289</v>
      </c>
      <c r="L19">
        <v>31</v>
      </c>
      <c r="M19">
        <v>8</v>
      </c>
      <c r="N19">
        <v>0.3921568627</v>
      </c>
      <c r="O19">
        <v>0</v>
      </c>
      <c r="P19">
        <v>0</v>
      </c>
      <c r="Q19">
        <v>100</v>
      </c>
      <c r="R19" t="s">
        <v>29</v>
      </c>
      <c r="S19" t="s">
        <v>248</v>
      </c>
      <c r="T19" t="s">
        <v>249</v>
      </c>
      <c r="U19" t="s">
        <v>250</v>
      </c>
      <c r="V19" t="str">
        <f t="shared" si="3"/>
        <v>%</v>
      </c>
    </row>
    <row r="20" spans="1:22" x14ac:dyDescent="0.25">
      <c r="A20" t="s">
        <v>720</v>
      </c>
      <c r="B20">
        <v>18</v>
      </c>
      <c r="C20">
        <v>12</v>
      </c>
      <c r="D20" t="str">
        <f t="shared" si="0"/>
        <v>12</v>
      </c>
      <c r="E20" t="s">
        <v>723</v>
      </c>
      <c r="F20" t="str">
        <f t="shared" si="1"/>
        <v>0201125555555555</v>
      </c>
      <c r="G20" t="s">
        <v>932</v>
      </c>
      <c r="H20" t="s">
        <v>290</v>
      </c>
      <c r="I20" t="str">
        <f t="shared" si="2"/>
        <v>S1_PID_12_CmdSecAirStatus</v>
      </c>
      <c r="J20" t="s">
        <v>49</v>
      </c>
      <c r="K20" t="s">
        <v>291</v>
      </c>
      <c r="L20">
        <v>31</v>
      </c>
      <c r="M20">
        <v>8</v>
      </c>
      <c r="N20">
        <v>1</v>
      </c>
      <c r="O20">
        <v>0</v>
      </c>
      <c r="R20" t="s">
        <v>237</v>
      </c>
      <c r="S20">
        <v>1</v>
      </c>
      <c r="U20" t="s">
        <v>250</v>
      </c>
      <c r="V20" t="str">
        <f t="shared" si="3"/>
        <v>Encoded</v>
      </c>
    </row>
    <row r="21" spans="1:22" x14ac:dyDescent="0.25">
      <c r="A21" t="s">
        <v>720</v>
      </c>
      <c r="B21">
        <v>19</v>
      </c>
      <c r="C21">
        <v>13</v>
      </c>
      <c r="D21" t="str">
        <f t="shared" si="0"/>
        <v>13</v>
      </c>
      <c r="E21" t="s">
        <v>724</v>
      </c>
      <c r="F21" t="str">
        <f t="shared" si="1"/>
        <v>0201135555555555</v>
      </c>
      <c r="G21" t="s">
        <v>933</v>
      </c>
      <c r="H21" t="s">
        <v>292</v>
      </c>
      <c r="I21" t="str">
        <f t="shared" si="2"/>
        <v>S1_PID_13_OxySensorsPresent_2Banks</v>
      </c>
      <c r="J21" t="s">
        <v>844</v>
      </c>
      <c r="K21" t="s">
        <v>293</v>
      </c>
      <c r="V21" t="str">
        <f t="shared" si="3"/>
        <v>N/A</v>
      </c>
    </row>
    <row r="22" spans="1:22" x14ac:dyDescent="0.25">
      <c r="A22" t="s">
        <v>720</v>
      </c>
      <c r="B22">
        <v>20</v>
      </c>
      <c r="C22">
        <v>14</v>
      </c>
      <c r="D22" t="str">
        <f t="shared" si="0"/>
        <v>14</v>
      </c>
      <c r="E22" t="s">
        <v>725</v>
      </c>
      <c r="F22" t="str">
        <f t="shared" si="1"/>
        <v>0201145555555555</v>
      </c>
      <c r="G22" t="s">
        <v>934</v>
      </c>
      <c r="H22" t="s">
        <v>294</v>
      </c>
      <c r="I22" t="str">
        <f t="shared" si="2"/>
        <v>S1_PID_14_OxySensor1_Volt</v>
      </c>
      <c r="J22" t="s">
        <v>50</v>
      </c>
      <c r="K22" t="s">
        <v>295</v>
      </c>
      <c r="L22">
        <v>31</v>
      </c>
      <c r="M22">
        <v>8</v>
      </c>
      <c r="N22">
        <v>5.0000000000000001E-3</v>
      </c>
      <c r="O22">
        <v>0</v>
      </c>
      <c r="P22">
        <v>0</v>
      </c>
      <c r="Q22">
        <v>1</v>
      </c>
      <c r="R22" t="s">
        <v>51</v>
      </c>
      <c r="S22">
        <v>5.0000000000000001E-3</v>
      </c>
      <c r="T22" t="s">
        <v>296</v>
      </c>
      <c r="U22" t="s">
        <v>250</v>
      </c>
      <c r="V22" t="str">
        <f t="shared" si="3"/>
        <v>volts</v>
      </c>
    </row>
    <row r="23" spans="1:22" x14ac:dyDescent="0.25">
      <c r="A23" t="s">
        <v>720</v>
      </c>
      <c r="B23">
        <v>20</v>
      </c>
      <c r="C23">
        <v>14</v>
      </c>
      <c r="D23" t="str">
        <f t="shared" si="0"/>
        <v>14</v>
      </c>
      <c r="E23" t="s">
        <v>725</v>
      </c>
      <c r="F23" t="str">
        <f t="shared" si="1"/>
        <v>0201145555555555</v>
      </c>
      <c r="G23" t="s">
        <v>934</v>
      </c>
      <c r="H23" t="s">
        <v>297</v>
      </c>
      <c r="I23" t="str">
        <f t="shared" si="2"/>
        <v>S1_PID_14_OxySensor1_STFT</v>
      </c>
      <c r="J23" t="s">
        <v>158</v>
      </c>
      <c r="K23" t="s">
        <v>298</v>
      </c>
      <c r="L23">
        <v>39</v>
      </c>
      <c r="M23">
        <v>8</v>
      </c>
      <c r="N23">
        <v>0.78125</v>
      </c>
      <c r="O23">
        <v>-100</v>
      </c>
      <c r="P23">
        <v>-100</v>
      </c>
      <c r="Q23">
        <v>99</v>
      </c>
      <c r="R23" t="s">
        <v>29</v>
      </c>
      <c r="S23" t="s">
        <v>256</v>
      </c>
      <c r="T23" t="s">
        <v>257</v>
      </c>
      <c r="U23" t="s">
        <v>299</v>
      </c>
      <c r="V23" t="str">
        <f t="shared" si="3"/>
        <v>%</v>
      </c>
    </row>
    <row r="24" spans="1:22" x14ac:dyDescent="0.25">
      <c r="A24" t="s">
        <v>720</v>
      </c>
      <c r="B24">
        <v>21</v>
      </c>
      <c r="C24">
        <v>15</v>
      </c>
      <c r="D24" t="str">
        <f t="shared" si="0"/>
        <v>15</v>
      </c>
      <c r="E24" t="s">
        <v>726</v>
      </c>
      <c r="F24" t="str">
        <f t="shared" si="1"/>
        <v>0201155555555555</v>
      </c>
      <c r="G24" t="s">
        <v>935</v>
      </c>
      <c r="H24" t="s">
        <v>300</v>
      </c>
      <c r="I24" t="str">
        <f t="shared" si="2"/>
        <v>S1_PID_15_OxySensor2_Volt</v>
      </c>
      <c r="J24" t="s">
        <v>52</v>
      </c>
      <c r="K24" t="s">
        <v>301</v>
      </c>
      <c r="L24">
        <v>31</v>
      </c>
      <c r="M24">
        <v>8</v>
      </c>
      <c r="N24">
        <v>5.0000000000000001E-3</v>
      </c>
      <c r="O24">
        <v>0</v>
      </c>
      <c r="P24">
        <v>0</v>
      </c>
      <c r="Q24">
        <v>1</v>
      </c>
      <c r="R24" t="s">
        <v>51</v>
      </c>
      <c r="S24">
        <v>5.0000000000000001E-3</v>
      </c>
      <c r="T24" t="s">
        <v>296</v>
      </c>
      <c r="U24" t="s">
        <v>250</v>
      </c>
      <c r="V24" t="str">
        <f t="shared" si="3"/>
        <v>volts</v>
      </c>
    </row>
    <row r="25" spans="1:22" x14ac:dyDescent="0.25">
      <c r="A25" t="s">
        <v>720</v>
      </c>
      <c r="B25">
        <v>21</v>
      </c>
      <c r="C25">
        <v>15</v>
      </c>
      <c r="D25" t="str">
        <f t="shared" si="0"/>
        <v>15</v>
      </c>
      <c r="E25" t="s">
        <v>726</v>
      </c>
      <c r="F25" t="str">
        <f t="shared" si="1"/>
        <v>0201155555555555</v>
      </c>
      <c r="G25" t="s">
        <v>935</v>
      </c>
      <c r="H25" t="s">
        <v>302</v>
      </c>
      <c r="I25" t="str">
        <f t="shared" si="2"/>
        <v>S1_PID_15_OxySensor2_STFT</v>
      </c>
      <c r="J25" t="s">
        <v>159</v>
      </c>
      <c r="K25" t="s">
        <v>303</v>
      </c>
      <c r="L25">
        <v>39</v>
      </c>
      <c r="M25">
        <v>8</v>
      </c>
      <c r="N25">
        <v>0.78125</v>
      </c>
      <c r="O25">
        <v>-100</v>
      </c>
      <c r="P25">
        <v>-100</v>
      </c>
      <c r="Q25">
        <v>99</v>
      </c>
      <c r="R25" t="s">
        <v>29</v>
      </c>
      <c r="S25" t="s">
        <v>256</v>
      </c>
      <c r="T25" t="s">
        <v>257</v>
      </c>
      <c r="U25" t="s">
        <v>299</v>
      </c>
      <c r="V25" t="str">
        <f t="shared" si="3"/>
        <v>%</v>
      </c>
    </row>
    <row r="26" spans="1:22" x14ac:dyDescent="0.25">
      <c r="A26" t="s">
        <v>720</v>
      </c>
      <c r="B26">
        <v>22</v>
      </c>
      <c r="C26">
        <v>16</v>
      </c>
      <c r="D26" t="str">
        <f t="shared" si="0"/>
        <v>16</v>
      </c>
      <c r="E26" t="s">
        <v>727</v>
      </c>
      <c r="F26" t="str">
        <f t="shared" si="1"/>
        <v>0201165555555555</v>
      </c>
      <c r="G26" t="s">
        <v>936</v>
      </c>
      <c r="H26" t="s">
        <v>304</v>
      </c>
      <c r="I26" t="str">
        <f t="shared" si="2"/>
        <v>S1_PID_16_OxySensor3_Volt</v>
      </c>
      <c r="J26" t="s">
        <v>53</v>
      </c>
      <c r="K26" t="s">
        <v>305</v>
      </c>
      <c r="L26">
        <v>31</v>
      </c>
      <c r="M26">
        <v>8</v>
      </c>
      <c r="N26">
        <v>5.0000000000000001E-3</v>
      </c>
      <c r="O26">
        <v>0</v>
      </c>
      <c r="P26">
        <v>0</v>
      </c>
      <c r="Q26">
        <v>1</v>
      </c>
      <c r="R26" t="s">
        <v>51</v>
      </c>
      <c r="S26">
        <v>5.0000000000000001E-3</v>
      </c>
      <c r="T26" t="s">
        <v>296</v>
      </c>
      <c r="U26" t="s">
        <v>250</v>
      </c>
      <c r="V26" t="str">
        <f t="shared" si="3"/>
        <v>volts</v>
      </c>
    </row>
    <row r="27" spans="1:22" x14ac:dyDescent="0.25">
      <c r="A27" t="s">
        <v>720</v>
      </c>
      <c r="B27">
        <v>22</v>
      </c>
      <c r="C27">
        <v>16</v>
      </c>
      <c r="D27" t="str">
        <f t="shared" si="0"/>
        <v>16</v>
      </c>
      <c r="E27" t="s">
        <v>727</v>
      </c>
      <c r="F27" t="str">
        <f t="shared" si="1"/>
        <v>0201165555555555</v>
      </c>
      <c r="G27" t="s">
        <v>936</v>
      </c>
      <c r="H27" t="s">
        <v>306</v>
      </c>
      <c r="I27" t="str">
        <f t="shared" si="2"/>
        <v>S1_PID_16_OxySensor3_STFT</v>
      </c>
      <c r="J27" t="s">
        <v>160</v>
      </c>
      <c r="K27" t="s">
        <v>307</v>
      </c>
      <c r="L27">
        <v>39</v>
      </c>
      <c r="M27">
        <v>8</v>
      </c>
      <c r="N27">
        <v>0.78125</v>
      </c>
      <c r="O27">
        <v>-100</v>
      </c>
      <c r="P27">
        <v>-100</v>
      </c>
      <c r="Q27">
        <v>99</v>
      </c>
      <c r="R27" t="s">
        <v>29</v>
      </c>
      <c r="S27" t="s">
        <v>256</v>
      </c>
      <c r="T27" t="s">
        <v>257</v>
      </c>
      <c r="U27" t="s">
        <v>299</v>
      </c>
      <c r="V27" t="str">
        <f t="shared" si="3"/>
        <v>%</v>
      </c>
    </row>
    <row r="28" spans="1:22" x14ac:dyDescent="0.25">
      <c r="A28" t="s">
        <v>720</v>
      </c>
      <c r="B28">
        <v>23</v>
      </c>
      <c r="C28">
        <v>17</v>
      </c>
      <c r="D28" t="str">
        <f t="shared" si="0"/>
        <v>17</v>
      </c>
      <c r="E28" t="s">
        <v>728</v>
      </c>
      <c r="F28" t="str">
        <f t="shared" si="1"/>
        <v>0201175555555555</v>
      </c>
      <c r="G28" t="s">
        <v>937</v>
      </c>
      <c r="H28" t="s">
        <v>308</v>
      </c>
      <c r="I28" t="str">
        <f t="shared" si="2"/>
        <v>S1_PID_17_OxySensor4_Volt</v>
      </c>
      <c r="J28" t="s">
        <v>54</v>
      </c>
      <c r="K28" t="s">
        <v>309</v>
      </c>
      <c r="L28">
        <v>31</v>
      </c>
      <c r="M28">
        <v>8</v>
      </c>
      <c r="N28">
        <v>5.0000000000000001E-3</v>
      </c>
      <c r="O28">
        <v>0</v>
      </c>
      <c r="P28">
        <v>0</v>
      </c>
      <c r="Q28">
        <v>1</v>
      </c>
      <c r="R28" t="s">
        <v>51</v>
      </c>
      <c r="S28">
        <v>5.0000000000000001E-3</v>
      </c>
      <c r="T28" t="s">
        <v>296</v>
      </c>
      <c r="U28" t="s">
        <v>250</v>
      </c>
      <c r="V28" t="str">
        <f t="shared" si="3"/>
        <v>volts</v>
      </c>
    </row>
    <row r="29" spans="1:22" x14ac:dyDescent="0.25">
      <c r="A29" t="s">
        <v>720</v>
      </c>
      <c r="B29">
        <v>23</v>
      </c>
      <c r="C29">
        <v>17</v>
      </c>
      <c r="D29" t="str">
        <f t="shared" si="0"/>
        <v>17</v>
      </c>
      <c r="E29" t="s">
        <v>728</v>
      </c>
      <c r="F29" t="str">
        <f t="shared" si="1"/>
        <v>0201175555555555</v>
      </c>
      <c r="G29" t="s">
        <v>937</v>
      </c>
      <c r="H29" t="s">
        <v>310</v>
      </c>
      <c r="I29" t="str">
        <f t="shared" si="2"/>
        <v>S1_PID_17_OxySensor4_STFT</v>
      </c>
      <c r="J29" t="s">
        <v>161</v>
      </c>
      <c r="K29" t="s">
        <v>311</v>
      </c>
      <c r="L29">
        <v>39</v>
      </c>
      <c r="M29">
        <v>8</v>
      </c>
      <c r="N29">
        <v>0.78125</v>
      </c>
      <c r="O29">
        <v>-100</v>
      </c>
      <c r="P29">
        <v>-100</v>
      </c>
      <c r="Q29">
        <v>99</v>
      </c>
      <c r="R29" t="s">
        <v>29</v>
      </c>
      <c r="S29" t="s">
        <v>256</v>
      </c>
      <c r="T29" t="s">
        <v>257</v>
      </c>
      <c r="U29" t="s">
        <v>299</v>
      </c>
      <c r="V29" t="str">
        <f t="shared" si="3"/>
        <v>%</v>
      </c>
    </row>
    <row r="30" spans="1:22" x14ac:dyDescent="0.25">
      <c r="A30" t="s">
        <v>720</v>
      </c>
      <c r="B30">
        <v>24</v>
      </c>
      <c r="C30">
        <v>18</v>
      </c>
      <c r="D30" t="str">
        <f t="shared" si="0"/>
        <v>18</v>
      </c>
      <c r="E30" t="s">
        <v>729</v>
      </c>
      <c r="F30" t="str">
        <f t="shared" si="1"/>
        <v>0201185555555555</v>
      </c>
      <c r="G30" t="s">
        <v>938</v>
      </c>
      <c r="H30" t="s">
        <v>312</v>
      </c>
      <c r="I30" t="str">
        <f t="shared" si="2"/>
        <v>S1_PID_18_OxySensor5_Volt</v>
      </c>
      <c r="J30" t="s">
        <v>55</v>
      </c>
      <c r="K30" t="s">
        <v>313</v>
      </c>
      <c r="L30">
        <v>31</v>
      </c>
      <c r="M30">
        <v>8</v>
      </c>
      <c r="N30">
        <v>5.0000000000000001E-3</v>
      </c>
      <c r="O30">
        <v>0</v>
      </c>
      <c r="P30">
        <v>0</v>
      </c>
      <c r="Q30">
        <v>1</v>
      </c>
      <c r="R30" t="s">
        <v>51</v>
      </c>
      <c r="S30">
        <v>5.0000000000000001E-3</v>
      </c>
      <c r="T30" t="s">
        <v>296</v>
      </c>
      <c r="U30" t="s">
        <v>250</v>
      </c>
      <c r="V30" t="str">
        <f t="shared" si="3"/>
        <v>volts</v>
      </c>
    </row>
    <row r="31" spans="1:22" x14ac:dyDescent="0.25">
      <c r="A31" t="s">
        <v>720</v>
      </c>
      <c r="B31">
        <v>24</v>
      </c>
      <c r="C31">
        <v>18</v>
      </c>
      <c r="D31" t="str">
        <f t="shared" si="0"/>
        <v>18</v>
      </c>
      <c r="E31" t="s">
        <v>729</v>
      </c>
      <c r="F31" t="str">
        <f t="shared" si="1"/>
        <v>0201185555555555</v>
      </c>
      <c r="G31" t="s">
        <v>938</v>
      </c>
      <c r="H31" t="s">
        <v>314</v>
      </c>
      <c r="I31" t="str">
        <f t="shared" si="2"/>
        <v>S1_PID_18_OxySensor5_STFT</v>
      </c>
      <c r="J31" t="s">
        <v>162</v>
      </c>
      <c r="K31" t="s">
        <v>315</v>
      </c>
      <c r="L31">
        <v>39</v>
      </c>
      <c r="M31">
        <v>8</v>
      </c>
      <c r="N31">
        <v>0.78125</v>
      </c>
      <c r="O31">
        <v>-100</v>
      </c>
      <c r="P31">
        <v>-100</v>
      </c>
      <c r="Q31">
        <v>99</v>
      </c>
      <c r="R31" t="s">
        <v>29</v>
      </c>
      <c r="S31" t="s">
        <v>256</v>
      </c>
      <c r="T31" t="s">
        <v>257</v>
      </c>
      <c r="U31" t="s">
        <v>299</v>
      </c>
      <c r="V31" t="str">
        <f t="shared" si="3"/>
        <v>%</v>
      </c>
    </row>
    <row r="32" spans="1:22" x14ac:dyDescent="0.25">
      <c r="A32" t="s">
        <v>720</v>
      </c>
      <c r="B32">
        <v>25</v>
      </c>
      <c r="C32">
        <v>19</v>
      </c>
      <c r="D32" t="str">
        <f t="shared" si="0"/>
        <v>19</v>
      </c>
      <c r="E32" t="s">
        <v>730</v>
      </c>
      <c r="F32" t="str">
        <f t="shared" si="1"/>
        <v>0201195555555555</v>
      </c>
      <c r="G32" t="s">
        <v>939</v>
      </c>
      <c r="H32" t="s">
        <v>316</v>
      </c>
      <c r="I32" t="str">
        <f t="shared" si="2"/>
        <v>S1_PID_19_OxySensor6_Volt</v>
      </c>
      <c r="J32" t="s">
        <v>56</v>
      </c>
      <c r="K32" t="s">
        <v>317</v>
      </c>
      <c r="L32">
        <v>31</v>
      </c>
      <c r="M32">
        <v>8</v>
      </c>
      <c r="N32">
        <v>5.0000000000000001E-3</v>
      </c>
      <c r="O32">
        <v>0</v>
      </c>
      <c r="P32">
        <v>0</v>
      </c>
      <c r="Q32">
        <v>1</v>
      </c>
      <c r="R32" t="s">
        <v>51</v>
      </c>
      <c r="S32">
        <v>5.0000000000000001E-3</v>
      </c>
      <c r="T32" t="s">
        <v>296</v>
      </c>
      <c r="U32" t="s">
        <v>250</v>
      </c>
      <c r="V32" t="str">
        <f t="shared" si="3"/>
        <v>volts</v>
      </c>
    </row>
    <row r="33" spans="1:22" x14ac:dyDescent="0.25">
      <c r="A33" t="s">
        <v>720</v>
      </c>
      <c r="B33">
        <v>25</v>
      </c>
      <c r="C33">
        <v>19</v>
      </c>
      <c r="D33" t="str">
        <f t="shared" si="0"/>
        <v>19</v>
      </c>
      <c r="E33" t="s">
        <v>730</v>
      </c>
      <c r="F33" t="str">
        <f t="shared" si="1"/>
        <v>0201195555555555</v>
      </c>
      <c r="G33" t="s">
        <v>939</v>
      </c>
      <c r="H33" t="s">
        <v>318</v>
      </c>
      <c r="I33" t="str">
        <f t="shared" si="2"/>
        <v>S1_PID_19_OxySensor6_STFT</v>
      </c>
      <c r="J33" t="s">
        <v>163</v>
      </c>
      <c r="K33" t="s">
        <v>319</v>
      </c>
      <c r="L33">
        <v>39</v>
      </c>
      <c r="M33">
        <v>8</v>
      </c>
      <c r="N33">
        <v>0.78125</v>
      </c>
      <c r="O33">
        <v>-100</v>
      </c>
      <c r="P33">
        <v>-100</v>
      </c>
      <c r="Q33">
        <v>99</v>
      </c>
      <c r="R33" t="s">
        <v>29</v>
      </c>
      <c r="S33" t="s">
        <v>256</v>
      </c>
      <c r="T33" t="s">
        <v>257</v>
      </c>
      <c r="U33" t="s">
        <v>299</v>
      </c>
      <c r="V33" t="str">
        <f t="shared" si="3"/>
        <v>%</v>
      </c>
    </row>
    <row r="34" spans="1:22" x14ac:dyDescent="0.25">
      <c r="A34" t="s">
        <v>720</v>
      </c>
      <c r="B34">
        <v>26</v>
      </c>
      <c r="C34" t="s">
        <v>320</v>
      </c>
      <c r="D34" t="str">
        <f t="shared" si="0"/>
        <v>1A</v>
      </c>
      <c r="E34" t="s">
        <v>320</v>
      </c>
      <c r="F34" t="str">
        <f t="shared" si="1"/>
        <v>02011A5555555555</v>
      </c>
      <c r="G34" t="s">
        <v>940</v>
      </c>
      <c r="H34" t="s">
        <v>321</v>
      </c>
      <c r="I34" t="str">
        <f t="shared" si="2"/>
        <v>S1_PID_1A_OxySensor7_Volt</v>
      </c>
      <c r="J34" t="s">
        <v>57</v>
      </c>
      <c r="K34" t="s">
        <v>322</v>
      </c>
      <c r="L34">
        <v>31</v>
      </c>
      <c r="M34">
        <v>8</v>
      </c>
      <c r="N34">
        <v>5.0000000000000001E-3</v>
      </c>
      <c r="O34">
        <v>0</v>
      </c>
      <c r="P34">
        <v>0</v>
      </c>
      <c r="Q34">
        <v>1</v>
      </c>
      <c r="R34" t="s">
        <v>51</v>
      </c>
      <c r="S34">
        <v>5.0000000000000001E-3</v>
      </c>
      <c r="T34" t="s">
        <v>296</v>
      </c>
      <c r="U34" t="s">
        <v>250</v>
      </c>
      <c r="V34" t="str">
        <f t="shared" si="3"/>
        <v>volts</v>
      </c>
    </row>
    <row r="35" spans="1:22" x14ac:dyDescent="0.25">
      <c r="A35" t="s">
        <v>720</v>
      </c>
      <c r="B35">
        <v>27</v>
      </c>
      <c r="C35" t="s">
        <v>320</v>
      </c>
      <c r="D35" t="str">
        <f t="shared" si="0"/>
        <v>1B</v>
      </c>
      <c r="E35" t="s">
        <v>325</v>
      </c>
      <c r="F35" t="str">
        <f t="shared" si="1"/>
        <v>02011B5555555555</v>
      </c>
      <c r="G35" t="s">
        <v>941</v>
      </c>
      <c r="H35" t="s">
        <v>323</v>
      </c>
      <c r="I35" t="str">
        <f t="shared" si="2"/>
        <v>S1_PID_1B_OxySensor7_STFT</v>
      </c>
      <c r="J35" t="s">
        <v>845</v>
      </c>
      <c r="K35" t="s">
        <v>324</v>
      </c>
      <c r="L35">
        <v>39</v>
      </c>
      <c r="M35">
        <v>8</v>
      </c>
      <c r="N35">
        <v>0.78125</v>
      </c>
      <c r="O35">
        <v>-100</v>
      </c>
      <c r="P35">
        <v>-100</v>
      </c>
      <c r="Q35">
        <v>99</v>
      </c>
      <c r="R35" t="s">
        <v>29</v>
      </c>
      <c r="S35" t="s">
        <v>256</v>
      </c>
      <c r="T35" t="s">
        <v>257</v>
      </c>
      <c r="U35" t="s">
        <v>299</v>
      </c>
      <c r="V35" t="str">
        <f t="shared" si="3"/>
        <v>%</v>
      </c>
    </row>
    <row r="36" spans="1:22" x14ac:dyDescent="0.25">
      <c r="A36" t="s">
        <v>720</v>
      </c>
      <c r="B36">
        <v>27</v>
      </c>
      <c r="C36" t="s">
        <v>325</v>
      </c>
      <c r="D36" t="str">
        <f t="shared" si="0"/>
        <v>1B</v>
      </c>
      <c r="E36" t="s">
        <v>325</v>
      </c>
      <c r="F36" t="str">
        <f t="shared" si="1"/>
        <v>02011B5555555555</v>
      </c>
      <c r="G36" t="s">
        <v>941</v>
      </c>
      <c r="H36" t="s">
        <v>326</v>
      </c>
      <c r="I36" t="str">
        <f t="shared" si="2"/>
        <v>S1_PID_1B_OxySensor8_Volt</v>
      </c>
      <c r="J36" t="s">
        <v>58</v>
      </c>
      <c r="K36" t="s">
        <v>327</v>
      </c>
      <c r="L36">
        <v>31</v>
      </c>
      <c r="M36">
        <v>8</v>
      </c>
      <c r="N36">
        <v>5.0000000000000001E-3</v>
      </c>
      <c r="O36">
        <v>0</v>
      </c>
      <c r="P36">
        <v>0</v>
      </c>
      <c r="Q36">
        <v>1</v>
      </c>
      <c r="R36" t="s">
        <v>51</v>
      </c>
      <c r="S36">
        <v>5.0000000000000001E-3</v>
      </c>
      <c r="T36" t="s">
        <v>296</v>
      </c>
      <c r="U36" t="s">
        <v>250</v>
      </c>
      <c r="V36" t="str">
        <f t="shared" si="3"/>
        <v>volts</v>
      </c>
    </row>
    <row r="37" spans="1:22" x14ac:dyDescent="0.25">
      <c r="A37" t="s">
        <v>720</v>
      </c>
      <c r="B37">
        <v>28</v>
      </c>
      <c r="C37" t="s">
        <v>325</v>
      </c>
      <c r="D37" t="str">
        <f t="shared" si="0"/>
        <v>1C</v>
      </c>
      <c r="E37" t="s">
        <v>330</v>
      </c>
      <c r="F37" t="str">
        <f t="shared" si="1"/>
        <v>02011C5555555555</v>
      </c>
      <c r="G37" t="s">
        <v>942</v>
      </c>
      <c r="H37" t="s">
        <v>328</v>
      </c>
      <c r="I37" t="str">
        <f t="shared" si="2"/>
        <v>S1_PID_1C_OxySensor8_STFT</v>
      </c>
      <c r="J37" t="s">
        <v>846</v>
      </c>
      <c r="K37" t="s">
        <v>329</v>
      </c>
      <c r="L37">
        <v>39</v>
      </c>
      <c r="M37">
        <v>8</v>
      </c>
      <c r="N37">
        <v>0.78125</v>
      </c>
      <c r="O37">
        <v>-100</v>
      </c>
      <c r="P37">
        <v>-100</v>
      </c>
      <c r="Q37">
        <v>99</v>
      </c>
      <c r="R37" t="s">
        <v>29</v>
      </c>
      <c r="S37" t="s">
        <v>256</v>
      </c>
      <c r="T37" t="s">
        <v>257</v>
      </c>
      <c r="U37" t="s">
        <v>299</v>
      </c>
      <c r="V37" t="str">
        <f t="shared" si="3"/>
        <v>%</v>
      </c>
    </row>
    <row r="38" spans="1:22" x14ac:dyDescent="0.25">
      <c r="A38" t="s">
        <v>720</v>
      </c>
      <c r="B38">
        <v>28</v>
      </c>
      <c r="C38" t="s">
        <v>330</v>
      </c>
      <c r="D38" t="str">
        <f t="shared" si="0"/>
        <v>1C</v>
      </c>
      <c r="E38" t="s">
        <v>330</v>
      </c>
      <c r="F38" t="str">
        <f t="shared" si="1"/>
        <v>02011C5555555555</v>
      </c>
      <c r="G38" t="s">
        <v>942</v>
      </c>
      <c r="H38" t="s">
        <v>331</v>
      </c>
      <c r="I38" t="str">
        <f t="shared" si="2"/>
        <v>S1_PID_1C_OBDStandard</v>
      </c>
      <c r="J38" t="s">
        <v>59</v>
      </c>
      <c r="K38" t="s">
        <v>332</v>
      </c>
      <c r="L38">
        <v>31</v>
      </c>
      <c r="M38">
        <v>8</v>
      </c>
      <c r="N38">
        <v>1</v>
      </c>
      <c r="O38">
        <v>0</v>
      </c>
      <c r="R38" t="s">
        <v>237</v>
      </c>
      <c r="S38">
        <v>1</v>
      </c>
      <c r="U38" t="s">
        <v>250</v>
      </c>
      <c r="V38" t="str">
        <f t="shared" si="3"/>
        <v>Encoded</v>
      </c>
    </row>
    <row r="39" spans="1:22" x14ac:dyDescent="0.25">
      <c r="A39" t="s">
        <v>720</v>
      </c>
      <c r="B39">
        <v>29</v>
      </c>
      <c r="C39" t="s">
        <v>333</v>
      </c>
      <c r="D39" t="str">
        <f t="shared" si="0"/>
        <v>1D</v>
      </c>
      <c r="E39" t="s">
        <v>333</v>
      </c>
      <c r="F39" t="str">
        <f t="shared" si="1"/>
        <v>02011D5555555555</v>
      </c>
      <c r="G39" t="s">
        <v>943</v>
      </c>
      <c r="H39" t="s">
        <v>334</v>
      </c>
      <c r="I39" t="str">
        <f t="shared" si="2"/>
        <v>S1_PID_1D_OxySensorsPresent_4Banks</v>
      </c>
      <c r="J39" t="s">
        <v>847</v>
      </c>
      <c r="K39" t="s">
        <v>335</v>
      </c>
      <c r="V39" t="str">
        <f t="shared" si="3"/>
        <v>N/A</v>
      </c>
    </row>
    <row r="40" spans="1:22" x14ac:dyDescent="0.25">
      <c r="A40" t="s">
        <v>720</v>
      </c>
      <c r="B40">
        <v>30</v>
      </c>
      <c r="C40" t="s">
        <v>336</v>
      </c>
      <c r="D40" t="str">
        <f t="shared" si="0"/>
        <v>1E</v>
      </c>
      <c r="E40" t="s">
        <v>336</v>
      </c>
      <c r="F40" t="str">
        <f t="shared" si="1"/>
        <v>02011E5555555555</v>
      </c>
      <c r="G40" t="s">
        <v>944</v>
      </c>
      <c r="H40" t="s">
        <v>337</v>
      </c>
      <c r="I40" t="str">
        <f t="shared" si="2"/>
        <v>S1_PID_1E_AuxiliaryInputStatus</v>
      </c>
      <c r="J40" t="s">
        <v>848</v>
      </c>
      <c r="K40" t="s">
        <v>338</v>
      </c>
      <c r="V40" t="str">
        <f t="shared" si="3"/>
        <v>N/A</v>
      </c>
    </row>
    <row r="41" spans="1:22" x14ac:dyDescent="0.25">
      <c r="A41" t="s">
        <v>720</v>
      </c>
      <c r="B41">
        <v>31</v>
      </c>
      <c r="C41" t="s">
        <v>339</v>
      </c>
      <c r="D41" t="str">
        <f t="shared" si="0"/>
        <v>1F</v>
      </c>
      <c r="E41" t="s">
        <v>339</v>
      </c>
      <c r="F41" t="str">
        <f t="shared" si="1"/>
        <v>02011F5555555555</v>
      </c>
      <c r="G41" t="s">
        <v>945</v>
      </c>
      <c r="H41" t="s">
        <v>340</v>
      </c>
      <c r="I41" t="str">
        <f t="shared" si="2"/>
        <v>S1_PID_1F_TimeSinceEngStart</v>
      </c>
      <c r="J41" t="s">
        <v>60</v>
      </c>
      <c r="K41" t="s">
        <v>341</v>
      </c>
      <c r="L41">
        <v>31</v>
      </c>
      <c r="M41">
        <v>16</v>
      </c>
      <c r="N41">
        <v>1</v>
      </c>
      <c r="O41">
        <v>0</v>
      </c>
      <c r="P41">
        <v>0</v>
      </c>
      <c r="Q41">
        <v>65535</v>
      </c>
      <c r="R41" t="s">
        <v>61</v>
      </c>
      <c r="S41">
        <v>1</v>
      </c>
      <c r="T41" t="s">
        <v>342</v>
      </c>
      <c r="U41" t="s">
        <v>243</v>
      </c>
      <c r="V41" t="str">
        <f t="shared" si="3"/>
        <v>seconds</v>
      </c>
    </row>
    <row r="42" spans="1:22" x14ac:dyDescent="0.25">
      <c r="A42" t="s">
        <v>720</v>
      </c>
      <c r="B42">
        <v>32</v>
      </c>
      <c r="C42">
        <v>20</v>
      </c>
      <c r="D42" t="str">
        <f t="shared" si="0"/>
        <v>20</v>
      </c>
      <c r="E42" t="s">
        <v>731</v>
      </c>
      <c r="F42" t="str">
        <f t="shared" si="1"/>
        <v>0201205555555555</v>
      </c>
      <c r="G42" t="s">
        <v>946</v>
      </c>
      <c r="H42" t="s">
        <v>343</v>
      </c>
      <c r="I42" t="str">
        <f t="shared" si="2"/>
        <v>S1_PID_20_PIDsSupported_21_40</v>
      </c>
      <c r="J42" t="s">
        <v>62</v>
      </c>
      <c r="K42" t="s">
        <v>344</v>
      </c>
      <c r="L42">
        <v>31</v>
      </c>
      <c r="M42">
        <v>32</v>
      </c>
      <c r="N42">
        <v>1</v>
      </c>
      <c r="O42">
        <v>0</v>
      </c>
      <c r="R42" t="s">
        <v>237</v>
      </c>
      <c r="S42">
        <v>1</v>
      </c>
      <c r="U42" t="s">
        <v>238</v>
      </c>
      <c r="V42" t="str">
        <f t="shared" si="3"/>
        <v>Encoded</v>
      </c>
    </row>
    <row r="43" spans="1:22" x14ac:dyDescent="0.25">
      <c r="A43" t="s">
        <v>720</v>
      </c>
      <c r="B43">
        <v>33</v>
      </c>
      <c r="C43">
        <v>21</v>
      </c>
      <c r="D43" t="str">
        <f t="shared" si="0"/>
        <v>21</v>
      </c>
      <c r="E43" t="s">
        <v>732</v>
      </c>
      <c r="F43" t="str">
        <f t="shared" si="1"/>
        <v>0201215555555555</v>
      </c>
      <c r="G43" t="s">
        <v>947</v>
      </c>
      <c r="H43" t="s">
        <v>345</v>
      </c>
      <c r="I43" t="str">
        <f t="shared" si="2"/>
        <v>S1_PID_21_DistanceMILOn</v>
      </c>
      <c r="J43" t="s">
        <v>63</v>
      </c>
      <c r="K43" t="s">
        <v>346</v>
      </c>
      <c r="L43">
        <v>31</v>
      </c>
      <c r="M43">
        <v>16</v>
      </c>
      <c r="N43">
        <v>1</v>
      </c>
      <c r="O43">
        <v>0</v>
      </c>
      <c r="P43">
        <v>0</v>
      </c>
      <c r="Q43">
        <v>65535</v>
      </c>
      <c r="R43" t="s">
        <v>64</v>
      </c>
      <c r="S43">
        <v>1</v>
      </c>
      <c r="T43" t="s">
        <v>342</v>
      </c>
      <c r="U43" t="s">
        <v>243</v>
      </c>
      <c r="V43" t="str">
        <f t="shared" si="3"/>
        <v>km</v>
      </c>
    </row>
    <row r="44" spans="1:22" x14ac:dyDescent="0.25">
      <c r="A44" t="s">
        <v>720</v>
      </c>
      <c r="B44">
        <v>34</v>
      </c>
      <c r="C44">
        <v>22</v>
      </c>
      <c r="D44" t="str">
        <f t="shared" si="0"/>
        <v>22</v>
      </c>
      <c r="E44" t="s">
        <v>733</v>
      </c>
      <c r="F44" t="str">
        <f t="shared" si="1"/>
        <v>0201225555555555</v>
      </c>
      <c r="G44" t="s">
        <v>948</v>
      </c>
      <c r="H44" t="s">
        <v>347</v>
      </c>
      <c r="I44" t="str">
        <f t="shared" si="2"/>
        <v>S1_PID_22_FuelRailPres</v>
      </c>
      <c r="J44" t="s">
        <v>65</v>
      </c>
      <c r="K44" t="s">
        <v>348</v>
      </c>
      <c r="L44">
        <v>31</v>
      </c>
      <c r="M44">
        <v>16</v>
      </c>
      <c r="N44">
        <v>7.9000000000000001E-2</v>
      </c>
      <c r="O44">
        <v>0</v>
      </c>
      <c r="P44">
        <v>0</v>
      </c>
      <c r="Q44">
        <v>5177</v>
      </c>
      <c r="R44" t="s">
        <v>37</v>
      </c>
      <c r="S44">
        <v>7.9000000000000001E-2</v>
      </c>
      <c r="T44" t="s">
        <v>349</v>
      </c>
      <c r="U44" t="s">
        <v>243</v>
      </c>
      <c r="V44" t="str">
        <f t="shared" si="3"/>
        <v>kPa</v>
      </c>
    </row>
    <row r="45" spans="1:22" x14ac:dyDescent="0.25">
      <c r="A45" t="s">
        <v>720</v>
      </c>
      <c r="B45">
        <v>35</v>
      </c>
      <c r="C45">
        <v>23</v>
      </c>
      <c r="D45" t="str">
        <f t="shared" si="0"/>
        <v>23</v>
      </c>
      <c r="E45" t="s">
        <v>734</v>
      </c>
      <c r="F45" t="str">
        <f t="shared" si="1"/>
        <v>0201235555555555</v>
      </c>
      <c r="G45" t="s">
        <v>949</v>
      </c>
      <c r="H45" t="s">
        <v>350</v>
      </c>
      <c r="I45" t="str">
        <f t="shared" si="2"/>
        <v>S1_PID_23_FuelRailGaug</v>
      </c>
      <c r="J45" t="s">
        <v>66</v>
      </c>
      <c r="K45" t="s">
        <v>351</v>
      </c>
      <c r="L45">
        <v>31</v>
      </c>
      <c r="M45">
        <v>16</v>
      </c>
      <c r="N45">
        <v>10</v>
      </c>
      <c r="O45">
        <v>0</v>
      </c>
      <c r="P45">
        <v>0</v>
      </c>
      <c r="Q45">
        <v>655350</v>
      </c>
      <c r="R45" t="s">
        <v>37</v>
      </c>
      <c r="S45">
        <v>10</v>
      </c>
      <c r="T45" t="s">
        <v>352</v>
      </c>
      <c r="U45" t="s">
        <v>243</v>
      </c>
      <c r="V45" t="str">
        <f t="shared" si="3"/>
        <v>kPa</v>
      </c>
    </row>
    <row r="46" spans="1:22" x14ac:dyDescent="0.25">
      <c r="A46" t="s">
        <v>720</v>
      </c>
      <c r="B46">
        <v>36</v>
      </c>
      <c r="C46">
        <v>24</v>
      </c>
      <c r="D46" t="str">
        <f t="shared" si="0"/>
        <v>24</v>
      </c>
      <c r="E46" t="s">
        <v>735</v>
      </c>
      <c r="F46" t="str">
        <f t="shared" si="1"/>
        <v>0201245555555555</v>
      </c>
      <c r="G46" t="s">
        <v>950</v>
      </c>
      <c r="H46" t="s">
        <v>353</v>
      </c>
      <c r="I46" t="str">
        <f t="shared" si="2"/>
        <v>S1_PID_24_OxySensor1_FAER</v>
      </c>
      <c r="J46" t="s">
        <v>67</v>
      </c>
      <c r="K46" t="s">
        <v>354</v>
      </c>
      <c r="L46">
        <v>31</v>
      </c>
      <c r="M46">
        <v>16</v>
      </c>
      <c r="N46">
        <v>3.0517578130000002E-5</v>
      </c>
      <c r="O46">
        <v>0</v>
      </c>
      <c r="P46">
        <v>0</v>
      </c>
      <c r="Q46">
        <v>2</v>
      </c>
      <c r="R46" t="s">
        <v>68</v>
      </c>
      <c r="S46" t="s">
        <v>355</v>
      </c>
      <c r="T46" t="s">
        <v>356</v>
      </c>
      <c r="U46" t="s">
        <v>243</v>
      </c>
      <c r="V46" t="str">
        <f t="shared" si="3"/>
        <v>ratio</v>
      </c>
    </row>
    <row r="47" spans="1:22" x14ac:dyDescent="0.25">
      <c r="A47" t="s">
        <v>720</v>
      </c>
      <c r="B47">
        <v>36</v>
      </c>
      <c r="C47">
        <v>24</v>
      </c>
      <c r="D47" t="str">
        <f t="shared" si="0"/>
        <v>24</v>
      </c>
      <c r="E47" t="s">
        <v>735</v>
      </c>
      <c r="F47" t="str">
        <f t="shared" si="1"/>
        <v>0201245555555555</v>
      </c>
      <c r="G47" t="s">
        <v>950</v>
      </c>
      <c r="H47" t="s">
        <v>294</v>
      </c>
      <c r="I47" t="str">
        <f t="shared" si="2"/>
        <v>S1_PID_24_OxySensor1_Volt</v>
      </c>
      <c r="J47" t="s">
        <v>172</v>
      </c>
      <c r="K47" t="s">
        <v>295</v>
      </c>
      <c r="L47">
        <v>47</v>
      </c>
      <c r="M47">
        <v>16</v>
      </c>
      <c r="N47">
        <v>1.220703125E-4</v>
      </c>
      <c r="O47">
        <v>0</v>
      </c>
      <c r="P47">
        <v>0</v>
      </c>
      <c r="Q47">
        <v>2</v>
      </c>
      <c r="R47" t="s">
        <v>51</v>
      </c>
      <c r="S47" t="s">
        <v>357</v>
      </c>
      <c r="T47" t="s">
        <v>356</v>
      </c>
      <c r="U47" t="s">
        <v>358</v>
      </c>
      <c r="V47" t="str">
        <f t="shared" si="3"/>
        <v>volts</v>
      </c>
    </row>
    <row r="48" spans="1:22" x14ac:dyDescent="0.25">
      <c r="A48" t="s">
        <v>720</v>
      </c>
      <c r="B48">
        <v>37</v>
      </c>
      <c r="C48">
        <v>25</v>
      </c>
      <c r="D48" t="str">
        <f t="shared" si="0"/>
        <v>25</v>
      </c>
      <c r="E48" t="s">
        <v>736</v>
      </c>
      <c r="F48" t="str">
        <f t="shared" si="1"/>
        <v>0201255555555555</v>
      </c>
      <c r="G48" t="s">
        <v>951</v>
      </c>
      <c r="H48" t="s">
        <v>359</v>
      </c>
      <c r="I48" t="str">
        <f t="shared" si="2"/>
        <v>S1_PID_25_OxySensor2_FAER</v>
      </c>
      <c r="J48" t="s">
        <v>69</v>
      </c>
      <c r="K48" t="s">
        <v>360</v>
      </c>
      <c r="L48">
        <v>31</v>
      </c>
      <c r="M48">
        <v>16</v>
      </c>
      <c r="N48">
        <v>3.0517578130000002E-5</v>
      </c>
      <c r="O48">
        <v>0</v>
      </c>
      <c r="P48">
        <v>0</v>
      </c>
      <c r="Q48">
        <v>2</v>
      </c>
      <c r="R48" t="s">
        <v>68</v>
      </c>
      <c r="S48" t="s">
        <v>355</v>
      </c>
      <c r="T48" t="s">
        <v>356</v>
      </c>
      <c r="U48" t="s">
        <v>243</v>
      </c>
      <c r="V48" t="str">
        <f t="shared" si="3"/>
        <v>ratio</v>
      </c>
    </row>
    <row r="49" spans="1:22" x14ac:dyDescent="0.25">
      <c r="A49" t="s">
        <v>720</v>
      </c>
      <c r="B49">
        <v>37</v>
      </c>
      <c r="C49">
        <v>25</v>
      </c>
      <c r="D49" t="str">
        <f t="shared" si="0"/>
        <v>25</v>
      </c>
      <c r="E49" t="s">
        <v>736</v>
      </c>
      <c r="F49" t="str">
        <f t="shared" si="1"/>
        <v>0201255555555555</v>
      </c>
      <c r="G49" t="s">
        <v>951</v>
      </c>
      <c r="H49" t="s">
        <v>300</v>
      </c>
      <c r="I49" t="str">
        <f t="shared" si="2"/>
        <v>S1_PID_25_OxySensor2_Volt</v>
      </c>
      <c r="J49" t="s">
        <v>173</v>
      </c>
      <c r="K49" t="s">
        <v>301</v>
      </c>
      <c r="L49">
        <v>47</v>
      </c>
      <c r="M49">
        <v>16</v>
      </c>
      <c r="N49">
        <v>1.220703125E-4</v>
      </c>
      <c r="O49">
        <v>0</v>
      </c>
      <c r="P49">
        <v>0</v>
      </c>
      <c r="Q49">
        <v>8</v>
      </c>
      <c r="R49" t="s">
        <v>51</v>
      </c>
      <c r="S49" t="s">
        <v>357</v>
      </c>
      <c r="T49" t="s">
        <v>361</v>
      </c>
      <c r="U49" t="s">
        <v>358</v>
      </c>
      <c r="V49" t="str">
        <f t="shared" si="3"/>
        <v>volts</v>
      </c>
    </row>
    <row r="50" spans="1:22" x14ac:dyDescent="0.25">
      <c r="A50" t="s">
        <v>720</v>
      </c>
      <c r="B50">
        <v>38</v>
      </c>
      <c r="C50">
        <v>26</v>
      </c>
      <c r="D50" t="str">
        <f t="shared" si="0"/>
        <v>26</v>
      </c>
      <c r="E50" t="s">
        <v>737</v>
      </c>
      <c r="F50" t="str">
        <f t="shared" si="1"/>
        <v>0201265555555555</v>
      </c>
      <c r="G50" t="s">
        <v>952</v>
      </c>
      <c r="H50" t="s">
        <v>362</v>
      </c>
      <c r="I50" t="str">
        <f t="shared" si="2"/>
        <v>S1_PID_26_OxySensor3_FAER</v>
      </c>
      <c r="J50" t="s">
        <v>70</v>
      </c>
      <c r="K50" t="s">
        <v>363</v>
      </c>
      <c r="L50">
        <v>31</v>
      </c>
      <c r="M50">
        <v>16</v>
      </c>
      <c r="N50">
        <v>3.0517578130000002E-5</v>
      </c>
      <c r="O50">
        <v>0</v>
      </c>
      <c r="P50">
        <v>0</v>
      </c>
      <c r="Q50">
        <v>2</v>
      </c>
      <c r="R50" t="s">
        <v>68</v>
      </c>
      <c r="S50" t="s">
        <v>355</v>
      </c>
      <c r="T50" t="s">
        <v>356</v>
      </c>
      <c r="U50" t="s">
        <v>243</v>
      </c>
      <c r="V50" t="str">
        <f t="shared" si="3"/>
        <v>ratio</v>
      </c>
    </row>
    <row r="51" spans="1:22" x14ac:dyDescent="0.25">
      <c r="A51" t="s">
        <v>720</v>
      </c>
      <c r="B51">
        <v>38</v>
      </c>
      <c r="C51">
        <v>26</v>
      </c>
      <c r="D51" t="str">
        <f t="shared" si="0"/>
        <v>26</v>
      </c>
      <c r="E51" t="s">
        <v>737</v>
      </c>
      <c r="F51" t="str">
        <f t="shared" si="1"/>
        <v>0201265555555555</v>
      </c>
      <c r="G51" t="s">
        <v>952</v>
      </c>
      <c r="H51" t="s">
        <v>304</v>
      </c>
      <c r="I51" t="str">
        <f t="shared" si="2"/>
        <v>S1_PID_26_OxySensor3_Volt</v>
      </c>
      <c r="J51" t="s">
        <v>174</v>
      </c>
      <c r="K51" t="s">
        <v>305</v>
      </c>
      <c r="L51">
        <v>47</v>
      </c>
      <c r="M51">
        <v>16</v>
      </c>
      <c r="N51">
        <v>1.220703125E-4</v>
      </c>
      <c r="O51">
        <v>0</v>
      </c>
      <c r="P51">
        <v>0</v>
      </c>
      <c r="Q51">
        <v>8</v>
      </c>
      <c r="R51" t="s">
        <v>51</v>
      </c>
      <c r="S51" t="s">
        <v>357</v>
      </c>
      <c r="T51" t="s">
        <v>361</v>
      </c>
      <c r="U51" t="s">
        <v>358</v>
      </c>
      <c r="V51" t="str">
        <f t="shared" si="3"/>
        <v>volts</v>
      </c>
    </row>
    <row r="52" spans="1:22" x14ac:dyDescent="0.25">
      <c r="A52" t="s">
        <v>720</v>
      </c>
      <c r="B52">
        <v>39</v>
      </c>
      <c r="C52">
        <v>27</v>
      </c>
      <c r="D52" t="str">
        <f t="shared" si="0"/>
        <v>27</v>
      </c>
      <c r="E52" t="s">
        <v>738</v>
      </c>
      <c r="F52" t="str">
        <f t="shared" si="1"/>
        <v>0201275555555555</v>
      </c>
      <c r="G52" t="s">
        <v>953</v>
      </c>
      <c r="H52" t="s">
        <v>364</v>
      </c>
      <c r="I52" t="str">
        <f t="shared" si="2"/>
        <v>S1_PID_27_OxySensor4_FAER</v>
      </c>
      <c r="J52" t="s">
        <v>71</v>
      </c>
      <c r="K52" t="s">
        <v>365</v>
      </c>
      <c r="L52">
        <v>31</v>
      </c>
      <c r="M52">
        <v>16</v>
      </c>
      <c r="N52">
        <v>3.0517578130000002E-5</v>
      </c>
      <c r="O52">
        <v>0</v>
      </c>
      <c r="P52">
        <v>0</v>
      </c>
      <c r="Q52">
        <v>2</v>
      </c>
      <c r="R52" t="s">
        <v>68</v>
      </c>
      <c r="S52" t="s">
        <v>355</v>
      </c>
      <c r="T52" t="s">
        <v>356</v>
      </c>
      <c r="U52" t="s">
        <v>243</v>
      </c>
      <c r="V52" t="str">
        <f t="shared" si="3"/>
        <v>ratio</v>
      </c>
    </row>
    <row r="53" spans="1:22" x14ac:dyDescent="0.25">
      <c r="A53" t="s">
        <v>720</v>
      </c>
      <c r="B53">
        <v>39</v>
      </c>
      <c r="C53">
        <v>27</v>
      </c>
      <c r="D53" t="str">
        <f t="shared" si="0"/>
        <v>27</v>
      </c>
      <c r="E53" t="s">
        <v>738</v>
      </c>
      <c r="F53" t="str">
        <f t="shared" si="1"/>
        <v>0201275555555555</v>
      </c>
      <c r="G53" t="s">
        <v>953</v>
      </c>
      <c r="H53" t="s">
        <v>308</v>
      </c>
      <c r="I53" t="str">
        <f t="shared" si="2"/>
        <v>S1_PID_27_OxySensor4_Volt</v>
      </c>
      <c r="J53" t="s">
        <v>175</v>
      </c>
      <c r="K53" t="s">
        <v>309</v>
      </c>
      <c r="L53">
        <v>47</v>
      </c>
      <c r="M53">
        <v>16</v>
      </c>
      <c r="N53">
        <v>1.220703125E-4</v>
      </c>
      <c r="O53">
        <v>0</v>
      </c>
      <c r="P53">
        <v>0</v>
      </c>
      <c r="Q53">
        <v>8</v>
      </c>
      <c r="R53" t="s">
        <v>51</v>
      </c>
      <c r="S53" t="s">
        <v>357</v>
      </c>
      <c r="T53" t="s">
        <v>361</v>
      </c>
      <c r="U53" t="s">
        <v>358</v>
      </c>
      <c r="V53" t="str">
        <f t="shared" si="3"/>
        <v>volts</v>
      </c>
    </row>
    <row r="54" spans="1:22" x14ac:dyDescent="0.25">
      <c r="A54" t="s">
        <v>720</v>
      </c>
      <c r="B54">
        <v>40</v>
      </c>
      <c r="C54">
        <v>28</v>
      </c>
      <c r="D54" t="str">
        <f t="shared" si="0"/>
        <v>28</v>
      </c>
      <c r="E54" t="s">
        <v>739</v>
      </c>
      <c r="F54" t="str">
        <f t="shared" si="1"/>
        <v>0201285555555555</v>
      </c>
      <c r="G54" t="s">
        <v>954</v>
      </c>
      <c r="H54" t="s">
        <v>366</v>
      </c>
      <c r="I54" t="str">
        <f t="shared" si="2"/>
        <v>S1_PID_28_OxySensor5_FAER</v>
      </c>
      <c r="J54" t="s">
        <v>72</v>
      </c>
      <c r="K54" t="s">
        <v>367</v>
      </c>
      <c r="L54">
        <v>31</v>
      </c>
      <c r="M54">
        <v>16</v>
      </c>
      <c r="N54">
        <v>3.0517578130000002E-5</v>
      </c>
      <c r="O54">
        <v>0</v>
      </c>
      <c r="P54">
        <v>0</v>
      </c>
      <c r="Q54">
        <v>2</v>
      </c>
      <c r="R54" t="s">
        <v>68</v>
      </c>
      <c r="S54" t="s">
        <v>355</v>
      </c>
      <c r="T54" t="s">
        <v>356</v>
      </c>
      <c r="U54" t="s">
        <v>243</v>
      </c>
      <c r="V54" t="str">
        <f t="shared" si="3"/>
        <v>ratio</v>
      </c>
    </row>
    <row r="55" spans="1:22" x14ac:dyDescent="0.25">
      <c r="A55" t="s">
        <v>720</v>
      </c>
      <c r="B55">
        <v>40</v>
      </c>
      <c r="C55">
        <v>28</v>
      </c>
      <c r="D55" t="str">
        <f t="shared" si="0"/>
        <v>28</v>
      </c>
      <c r="E55" t="s">
        <v>739</v>
      </c>
      <c r="F55" t="str">
        <f t="shared" si="1"/>
        <v>0201285555555555</v>
      </c>
      <c r="G55" t="s">
        <v>954</v>
      </c>
      <c r="H55" t="s">
        <v>312</v>
      </c>
      <c r="I55" t="str">
        <f t="shared" si="2"/>
        <v>S1_PID_28_OxySensor5_Volt</v>
      </c>
      <c r="J55" t="s">
        <v>176</v>
      </c>
      <c r="K55" t="s">
        <v>313</v>
      </c>
      <c r="L55">
        <v>47</v>
      </c>
      <c r="M55">
        <v>16</v>
      </c>
      <c r="N55">
        <v>1.220703125E-4</v>
      </c>
      <c r="O55">
        <v>0</v>
      </c>
      <c r="P55">
        <v>0</v>
      </c>
      <c r="Q55">
        <v>8</v>
      </c>
      <c r="R55" t="s">
        <v>51</v>
      </c>
      <c r="S55" t="s">
        <v>357</v>
      </c>
      <c r="T55" t="s">
        <v>361</v>
      </c>
      <c r="U55" t="s">
        <v>358</v>
      </c>
      <c r="V55" t="str">
        <f t="shared" si="3"/>
        <v>volts</v>
      </c>
    </row>
    <row r="56" spans="1:22" x14ac:dyDescent="0.25">
      <c r="A56" t="s">
        <v>720</v>
      </c>
      <c r="B56">
        <v>41</v>
      </c>
      <c r="C56">
        <v>29</v>
      </c>
      <c r="D56" t="str">
        <f t="shared" si="0"/>
        <v>29</v>
      </c>
      <c r="E56" t="s">
        <v>740</v>
      </c>
      <c r="F56" t="str">
        <f t="shared" si="1"/>
        <v>0201295555555555</v>
      </c>
      <c r="G56" t="s">
        <v>955</v>
      </c>
      <c r="H56" t="s">
        <v>368</v>
      </c>
      <c r="I56" t="str">
        <f t="shared" si="2"/>
        <v>S1_PID_29_OxySensor6_FAER</v>
      </c>
      <c r="J56" t="s">
        <v>73</v>
      </c>
      <c r="K56" t="s">
        <v>369</v>
      </c>
      <c r="L56">
        <v>31</v>
      </c>
      <c r="M56">
        <v>16</v>
      </c>
      <c r="N56">
        <v>3.0517578130000002E-5</v>
      </c>
      <c r="O56">
        <v>0</v>
      </c>
      <c r="P56">
        <v>0</v>
      </c>
      <c r="Q56">
        <v>2</v>
      </c>
      <c r="R56" t="s">
        <v>68</v>
      </c>
      <c r="S56" t="s">
        <v>355</v>
      </c>
      <c r="T56" t="s">
        <v>356</v>
      </c>
      <c r="U56" t="s">
        <v>243</v>
      </c>
      <c r="V56" t="str">
        <f t="shared" si="3"/>
        <v>ratio</v>
      </c>
    </row>
    <row r="57" spans="1:22" x14ac:dyDescent="0.25">
      <c r="A57" t="s">
        <v>720</v>
      </c>
      <c r="B57">
        <v>41</v>
      </c>
      <c r="C57">
        <v>29</v>
      </c>
      <c r="D57" t="str">
        <f t="shared" si="0"/>
        <v>29</v>
      </c>
      <c r="E57" t="s">
        <v>740</v>
      </c>
      <c r="F57" t="str">
        <f t="shared" si="1"/>
        <v>0201295555555555</v>
      </c>
      <c r="G57" t="s">
        <v>955</v>
      </c>
      <c r="H57" t="s">
        <v>316</v>
      </c>
      <c r="I57" t="str">
        <f t="shared" si="2"/>
        <v>S1_PID_29_OxySensor6_Volt</v>
      </c>
      <c r="J57" t="s">
        <v>177</v>
      </c>
      <c r="K57" t="s">
        <v>317</v>
      </c>
      <c r="L57">
        <v>47</v>
      </c>
      <c r="M57">
        <v>16</v>
      </c>
      <c r="N57">
        <v>1.220703125E-4</v>
      </c>
      <c r="O57">
        <v>0</v>
      </c>
      <c r="P57">
        <v>0</v>
      </c>
      <c r="Q57">
        <v>8</v>
      </c>
      <c r="R57" t="s">
        <v>51</v>
      </c>
      <c r="S57" t="s">
        <v>357</v>
      </c>
      <c r="T57" t="s">
        <v>361</v>
      </c>
      <c r="U57" t="s">
        <v>358</v>
      </c>
      <c r="V57" t="str">
        <f t="shared" si="3"/>
        <v>volts</v>
      </c>
    </row>
    <row r="58" spans="1:22" x14ac:dyDescent="0.25">
      <c r="A58" t="s">
        <v>720</v>
      </c>
      <c r="B58">
        <v>42</v>
      </c>
      <c r="C58" t="s">
        <v>370</v>
      </c>
      <c r="D58" t="str">
        <f t="shared" si="0"/>
        <v>2A</v>
      </c>
      <c r="E58" t="s">
        <v>370</v>
      </c>
      <c r="F58" t="str">
        <f t="shared" si="1"/>
        <v>02012A5555555555</v>
      </c>
      <c r="G58" t="s">
        <v>956</v>
      </c>
      <c r="H58" t="s">
        <v>371</v>
      </c>
      <c r="I58" t="str">
        <f t="shared" si="2"/>
        <v>S1_PID_2A_OxySensor7_FAER</v>
      </c>
      <c r="J58" t="s">
        <v>74</v>
      </c>
      <c r="K58" t="s">
        <v>372</v>
      </c>
      <c r="L58">
        <v>31</v>
      </c>
      <c r="M58">
        <v>16</v>
      </c>
      <c r="N58">
        <v>3.0517578130000002E-5</v>
      </c>
      <c r="O58">
        <v>0</v>
      </c>
      <c r="P58">
        <v>0</v>
      </c>
      <c r="Q58">
        <v>2</v>
      </c>
      <c r="R58" t="s">
        <v>68</v>
      </c>
      <c r="S58" t="s">
        <v>355</v>
      </c>
      <c r="T58" t="s">
        <v>356</v>
      </c>
      <c r="U58" t="s">
        <v>243</v>
      </c>
      <c r="V58" t="str">
        <f t="shared" si="3"/>
        <v>ratio</v>
      </c>
    </row>
    <row r="59" spans="1:22" x14ac:dyDescent="0.25">
      <c r="A59" t="s">
        <v>720</v>
      </c>
      <c r="B59">
        <v>43</v>
      </c>
      <c r="C59" t="s">
        <v>370</v>
      </c>
      <c r="D59" t="str">
        <f t="shared" si="0"/>
        <v>2B</v>
      </c>
      <c r="E59" t="s">
        <v>373</v>
      </c>
      <c r="F59" t="str">
        <f t="shared" si="1"/>
        <v>02012B5555555555</v>
      </c>
      <c r="G59" t="s">
        <v>957</v>
      </c>
      <c r="H59" t="s">
        <v>321</v>
      </c>
      <c r="I59" t="str">
        <f t="shared" si="2"/>
        <v>S1_PID_2B_OxySensor7_Volt</v>
      </c>
      <c r="J59" t="s">
        <v>849</v>
      </c>
      <c r="K59" t="s">
        <v>322</v>
      </c>
      <c r="L59">
        <v>47</v>
      </c>
      <c r="M59">
        <v>16</v>
      </c>
      <c r="N59">
        <v>1.220703125E-4</v>
      </c>
      <c r="O59">
        <v>0</v>
      </c>
      <c r="P59">
        <v>0</v>
      </c>
      <c r="Q59">
        <v>8</v>
      </c>
      <c r="R59" t="s">
        <v>51</v>
      </c>
      <c r="S59" t="s">
        <v>357</v>
      </c>
      <c r="T59" t="s">
        <v>361</v>
      </c>
      <c r="U59" t="s">
        <v>358</v>
      </c>
      <c r="V59" t="str">
        <f t="shared" si="3"/>
        <v>volts</v>
      </c>
    </row>
    <row r="60" spans="1:22" x14ac:dyDescent="0.25">
      <c r="A60" t="s">
        <v>720</v>
      </c>
      <c r="B60">
        <v>43</v>
      </c>
      <c r="C60" t="s">
        <v>373</v>
      </c>
      <c r="D60" t="str">
        <f t="shared" si="0"/>
        <v>2B</v>
      </c>
      <c r="E60" t="s">
        <v>373</v>
      </c>
      <c r="F60" t="str">
        <f t="shared" si="1"/>
        <v>02012B5555555555</v>
      </c>
      <c r="G60" t="s">
        <v>957</v>
      </c>
      <c r="H60" t="s">
        <v>374</v>
      </c>
      <c r="I60" t="str">
        <f t="shared" si="2"/>
        <v>S1_PID_2B_OxySensor8_FAER</v>
      </c>
      <c r="J60" t="s">
        <v>75</v>
      </c>
      <c r="K60" t="s">
        <v>375</v>
      </c>
      <c r="L60">
        <v>31</v>
      </c>
      <c r="M60">
        <v>16</v>
      </c>
      <c r="N60">
        <v>3.0517578130000002E-5</v>
      </c>
      <c r="O60">
        <v>0</v>
      </c>
      <c r="P60">
        <v>0</v>
      </c>
      <c r="Q60">
        <v>2</v>
      </c>
      <c r="R60" t="s">
        <v>68</v>
      </c>
      <c r="S60" t="s">
        <v>355</v>
      </c>
      <c r="T60" t="s">
        <v>356</v>
      </c>
      <c r="U60" t="s">
        <v>243</v>
      </c>
      <c r="V60" t="str">
        <f t="shared" si="3"/>
        <v>ratio</v>
      </c>
    </row>
    <row r="61" spans="1:22" x14ac:dyDescent="0.25">
      <c r="A61" t="s">
        <v>720</v>
      </c>
      <c r="B61">
        <v>44</v>
      </c>
      <c r="C61" t="s">
        <v>373</v>
      </c>
      <c r="D61" t="str">
        <f t="shared" si="0"/>
        <v>2C</v>
      </c>
      <c r="E61" t="s">
        <v>376</v>
      </c>
      <c r="F61" t="str">
        <f t="shared" si="1"/>
        <v>02012C5555555555</v>
      </c>
      <c r="G61" t="s">
        <v>958</v>
      </c>
      <c r="H61" t="s">
        <v>326</v>
      </c>
      <c r="I61" t="str">
        <f t="shared" si="2"/>
        <v>S1_PID_2C_OxySensor8_Volt</v>
      </c>
      <c r="J61" t="s">
        <v>850</v>
      </c>
      <c r="K61" t="s">
        <v>327</v>
      </c>
      <c r="L61">
        <v>47</v>
      </c>
      <c r="M61">
        <v>16</v>
      </c>
      <c r="N61">
        <v>1.220703125E-4</v>
      </c>
      <c r="O61">
        <v>0</v>
      </c>
      <c r="P61">
        <v>0</v>
      </c>
      <c r="Q61">
        <v>8</v>
      </c>
      <c r="R61" t="s">
        <v>51</v>
      </c>
      <c r="S61" t="s">
        <v>357</v>
      </c>
      <c r="T61" t="s">
        <v>361</v>
      </c>
      <c r="U61" t="s">
        <v>358</v>
      </c>
      <c r="V61" t="str">
        <f t="shared" si="3"/>
        <v>volts</v>
      </c>
    </row>
    <row r="62" spans="1:22" x14ac:dyDescent="0.25">
      <c r="A62" t="s">
        <v>720</v>
      </c>
      <c r="B62">
        <v>44</v>
      </c>
      <c r="C62" t="s">
        <v>376</v>
      </c>
      <c r="D62" t="str">
        <f t="shared" si="0"/>
        <v>2C</v>
      </c>
      <c r="E62" t="s">
        <v>376</v>
      </c>
      <c r="F62" t="str">
        <f t="shared" si="1"/>
        <v>02012C5555555555</v>
      </c>
      <c r="G62" t="s">
        <v>958</v>
      </c>
      <c r="H62" t="s">
        <v>377</v>
      </c>
      <c r="I62" t="str">
        <f t="shared" si="2"/>
        <v>S1_PID_2C_CmdEGR</v>
      </c>
      <c r="J62" t="s">
        <v>76</v>
      </c>
      <c r="K62" t="s">
        <v>378</v>
      </c>
      <c r="L62">
        <v>31</v>
      </c>
      <c r="M62">
        <v>8</v>
      </c>
      <c r="N62">
        <v>0.3921568627</v>
      </c>
      <c r="O62">
        <v>0</v>
      </c>
      <c r="P62">
        <v>0</v>
      </c>
      <c r="Q62">
        <v>100</v>
      </c>
      <c r="R62" t="s">
        <v>29</v>
      </c>
      <c r="S62" t="s">
        <v>248</v>
      </c>
      <c r="T62" t="s">
        <v>249</v>
      </c>
      <c r="U62" t="s">
        <v>250</v>
      </c>
      <c r="V62" t="str">
        <f t="shared" si="3"/>
        <v>%</v>
      </c>
    </row>
    <row r="63" spans="1:22" x14ac:dyDescent="0.25">
      <c r="A63" t="s">
        <v>720</v>
      </c>
      <c r="B63">
        <v>45</v>
      </c>
      <c r="C63" t="s">
        <v>379</v>
      </c>
      <c r="D63" t="str">
        <f t="shared" si="0"/>
        <v>2D</v>
      </c>
      <c r="E63" t="s">
        <v>379</v>
      </c>
      <c r="F63" t="str">
        <f t="shared" si="1"/>
        <v>02012D5555555555</v>
      </c>
      <c r="G63" t="s">
        <v>959</v>
      </c>
      <c r="H63" t="s">
        <v>380</v>
      </c>
      <c r="I63" t="str">
        <f t="shared" si="2"/>
        <v>S1_PID_2D_EGRError</v>
      </c>
      <c r="J63" t="s">
        <v>77</v>
      </c>
      <c r="K63" t="s">
        <v>381</v>
      </c>
      <c r="L63">
        <v>31</v>
      </c>
      <c r="M63">
        <v>8</v>
      </c>
      <c r="N63">
        <v>0.78125</v>
      </c>
      <c r="O63">
        <v>-100</v>
      </c>
      <c r="P63">
        <v>-100</v>
      </c>
      <c r="Q63">
        <v>99</v>
      </c>
      <c r="R63" t="s">
        <v>29</v>
      </c>
      <c r="S63" t="s">
        <v>256</v>
      </c>
      <c r="T63" t="s">
        <v>257</v>
      </c>
      <c r="U63" t="s">
        <v>250</v>
      </c>
      <c r="V63" t="str">
        <f t="shared" si="3"/>
        <v>%</v>
      </c>
    </row>
    <row r="64" spans="1:22" x14ac:dyDescent="0.25">
      <c r="A64" t="s">
        <v>720</v>
      </c>
      <c r="B64">
        <v>46</v>
      </c>
      <c r="C64" t="s">
        <v>382</v>
      </c>
      <c r="D64" t="str">
        <f t="shared" si="0"/>
        <v>2E</v>
      </c>
      <c r="E64" t="s">
        <v>382</v>
      </c>
      <c r="F64" t="str">
        <f t="shared" si="1"/>
        <v>02012E5555555555</v>
      </c>
      <c r="G64" t="s">
        <v>960</v>
      </c>
      <c r="H64" t="s">
        <v>383</v>
      </c>
      <c r="I64" t="str">
        <f t="shared" si="2"/>
        <v>S1_PID_2E_CmdEvapPurge</v>
      </c>
      <c r="J64" t="s">
        <v>78</v>
      </c>
      <c r="K64" t="s">
        <v>384</v>
      </c>
      <c r="L64">
        <v>31</v>
      </c>
      <c r="M64">
        <v>8</v>
      </c>
      <c r="N64">
        <v>0.3921568627</v>
      </c>
      <c r="O64">
        <v>0</v>
      </c>
      <c r="P64">
        <v>0</v>
      </c>
      <c r="Q64">
        <v>100</v>
      </c>
      <c r="R64" t="s">
        <v>29</v>
      </c>
      <c r="S64" t="s">
        <v>248</v>
      </c>
      <c r="T64" t="s">
        <v>249</v>
      </c>
      <c r="U64" t="s">
        <v>250</v>
      </c>
      <c r="V64" t="str">
        <f t="shared" si="3"/>
        <v>%</v>
      </c>
    </row>
    <row r="65" spans="1:22" x14ac:dyDescent="0.25">
      <c r="A65" t="s">
        <v>720</v>
      </c>
      <c r="B65">
        <v>47</v>
      </c>
      <c r="C65" t="s">
        <v>385</v>
      </c>
      <c r="D65" t="str">
        <f t="shared" si="0"/>
        <v>2F</v>
      </c>
      <c r="E65" t="s">
        <v>385</v>
      </c>
      <c r="F65" t="str">
        <f t="shared" si="1"/>
        <v>02012F5555555555</v>
      </c>
      <c r="G65" t="s">
        <v>961</v>
      </c>
      <c r="H65" t="s">
        <v>386</v>
      </c>
      <c r="I65" t="str">
        <f t="shared" si="2"/>
        <v>S1_PID_2F_FuelTankLevel</v>
      </c>
      <c r="J65" t="s">
        <v>79</v>
      </c>
      <c r="K65" t="s">
        <v>387</v>
      </c>
      <c r="L65">
        <v>31</v>
      </c>
      <c r="M65">
        <v>8</v>
      </c>
      <c r="N65">
        <v>0.3921568627</v>
      </c>
      <c r="O65">
        <v>0</v>
      </c>
      <c r="P65">
        <v>0</v>
      </c>
      <c r="Q65">
        <v>100</v>
      </c>
      <c r="R65" t="s">
        <v>29</v>
      </c>
      <c r="S65" t="s">
        <v>248</v>
      </c>
      <c r="T65" t="s">
        <v>249</v>
      </c>
      <c r="U65" t="s">
        <v>250</v>
      </c>
      <c r="V65" t="str">
        <f t="shared" si="3"/>
        <v>%</v>
      </c>
    </row>
    <row r="66" spans="1:22" x14ac:dyDescent="0.25">
      <c r="A66" t="s">
        <v>720</v>
      </c>
      <c r="B66">
        <v>48</v>
      </c>
      <c r="C66">
        <v>30</v>
      </c>
      <c r="D66" t="str">
        <f t="shared" si="0"/>
        <v>30</v>
      </c>
      <c r="E66" t="s">
        <v>741</v>
      </c>
      <c r="F66" t="str">
        <f t="shared" si="1"/>
        <v>0201305555555555</v>
      </c>
      <c r="G66" t="s">
        <v>962</v>
      </c>
      <c r="H66" t="s">
        <v>388</v>
      </c>
      <c r="I66" t="str">
        <f t="shared" si="2"/>
        <v>S1_PID_30_WarmUpsSinceCodeClear</v>
      </c>
      <c r="J66" t="s">
        <v>80</v>
      </c>
      <c r="K66" t="s">
        <v>389</v>
      </c>
      <c r="L66">
        <v>31</v>
      </c>
      <c r="M66">
        <v>8</v>
      </c>
      <c r="N66">
        <v>1</v>
      </c>
      <c r="O66">
        <v>0</v>
      </c>
      <c r="P66">
        <v>0</v>
      </c>
      <c r="Q66">
        <v>255</v>
      </c>
      <c r="R66" t="s">
        <v>81</v>
      </c>
      <c r="S66">
        <v>1</v>
      </c>
      <c r="T66" t="s">
        <v>270</v>
      </c>
      <c r="U66" t="s">
        <v>250</v>
      </c>
      <c r="V66" t="str">
        <f t="shared" si="3"/>
        <v>count</v>
      </c>
    </row>
    <row r="67" spans="1:22" x14ac:dyDescent="0.25">
      <c r="A67" t="s">
        <v>720</v>
      </c>
      <c r="B67">
        <v>49</v>
      </c>
      <c r="C67">
        <v>31</v>
      </c>
      <c r="D67" t="str">
        <f t="shared" ref="D67:D130" si="4">DEC2HEX(B67,2)</f>
        <v>31</v>
      </c>
      <c r="E67" t="s">
        <v>742</v>
      </c>
      <c r="F67" t="str">
        <f t="shared" ref="F67:G130" si="5">"0201"&amp;E67&amp;"5555555555"</f>
        <v>0201315555555555</v>
      </c>
      <c r="G67" t="s">
        <v>963</v>
      </c>
      <c r="H67" t="s">
        <v>390</v>
      </c>
      <c r="I67" t="str">
        <f t="shared" ref="I67:I130" si="6">A67&amp;"_PID_"&amp;E67&amp;"_"&amp;H67</f>
        <v>S1_PID_31_DistanceSinceCodeClear</v>
      </c>
      <c r="J67" t="s">
        <v>82</v>
      </c>
      <c r="K67" t="s">
        <v>391</v>
      </c>
      <c r="L67">
        <v>31</v>
      </c>
      <c r="M67">
        <v>16</v>
      </c>
      <c r="N67">
        <v>1</v>
      </c>
      <c r="O67">
        <v>0</v>
      </c>
      <c r="P67">
        <v>0</v>
      </c>
      <c r="Q67">
        <v>65535</v>
      </c>
      <c r="R67" t="s">
        <v>64</v>
      </c>
      <c r="S67">
        <v>1</v>
      </c>
      <c r="T67" t="s">
        <v>342</v>
      </c>
      <c r="U67" t="s">
        <v>243</v>
      </c>
      <c r="V67" t="str">
        <f t="shared" ref="V67:V130" si="7">IF(R67="","N/A",R67)</f>
        <v>km</v>
      </c>
    </row>
    <row r="68" spans="1:22" x14ac:dyDescent="0.25">
      <c r="A68" t="s">
        <v>720</v>
      </c>
      <c r="B68">
        <v>50</v>
      </c>
      <c r="C68">
        <v>32</v>
      </c>
      <c r="D68" t="str">
        <f t="shared" si="4"/>
        <v>32</v>
      </c>
      <c r="E68" t="s">
        <v>743</v>
      </c>
      <c r="F68" t="str">
        <f t="shared" si="5"/>
        <v>0201325555555555</v>
      </c>
      <c r="G68" t="s">
        <v>964</v>
      </c>
      <c r="H68" t="s">
        <v>392</v>
      </c>
      <c r="I68" t="str">
        <f t="shared" si="6"/>
        <v>S1_PID_32_EvapSysVaporPres</v>
      </c>
      <c r="J68" t="s">
        <v>83</v>
      </c>
      <c r="K68" t="s">
        <v>393</v>
      </c>
      <c r="L68">
        <v>31</v>
      </c>
      <c r="M68">
        <v>16</v>
      </c>
      <c r="N68">
        <v>0.25</v>
      </c>
      <c r="O68">
        <v>0</v>
      </c>
      <c r="P68">
        <v>-8192</v>
      </c>
      <c r="Q68">
        <v>8192</v>
      </c>
      <c r="R68" t="s">
        <v>84</v>
      </c>
      <c r="S68">
        <v>0.25</v>
      </c>
      <c r="T68" t="s">
        <v>394</v>
      </c>
      <c r="U68" t="s">
        <v>243</v>
      </c>
      <c r="V68" t="str">
        <f t="shared" si="7"/>
        <v>Pa</v>
      </c>
    </row>
    <row r="69" spans="1:22" x14ac:dyDescent="0.25">
      <c r="A69" t="s">
        <v>720</v>
      </c>
      <c r="B69">
        <v>51</v>
      </c>
      <c r="C69">
        <v>33</v>
      </c>
      <c r="D69" t="str">
        <f t="shared" si="4"/>
        <v>33</v>
      </c>
      <c r="E69" t="s">
        <v>744</v>
      </c>
      <c r="F69" t="str">
        <f t="shared" si="5"/>
        <v>0201335555555555</v>
      </c>
      <c r="G69" t="s">
        <v>965</v>
      </c>
      <c r="H69" t="s">
        <v>395</v>
      </c>
      <c r="I69" t="str">
        <f t="shared" si="6"/>
        <v>S1_PID_33_AbsBaroPres</v>
      </c>
      <c r="J69" t="s">
        <v>85</v>
      </c>
      <c r="K69" t="s">
        <v>396</v>
      </c>
      <c r="L69">
        <v>31</v>
      </c>
      <c r="M69">
        <v>8</v>
      </c>
      <c r="N69">
        <v>1</v>
      </c>
      <c r="O69">
        <v>0</v>
      </c>
      <c r="P69">
        <v>0</v>
      </c>
      <c r="Q69">
        <v>255</v>
      </c>
      <c r="R69" t="s">
        <v>37</v>
      </c>
      <c r="S69">
        <v>1</v>
      </c>
      <c r="T69" t="s">
        <v>270</v>
      </c>
      <c r="U69" t="s">
        <v>250</v>
      </c>
      <c r="V69" t="str">
        <f t="shared" si="7"/>
        <v>kPa</v>
      </c>
    </row>
    <row r="70" spans="1:22" x14ac:dyDescent="0.25">
      <c r="A70" t="s">
        <v>720</v>
      </c>
      <c r="B70">
        <v>52</v>
      </c>
      <c r="C70">
        <v>34</v>
      </c>
      <c r="D70" t="str">
        <f t="shared" si="4"/>
        <v>34</v>
      </c>
      <c r="E70" t="s">
        <v>745</v>
      </c>
      <c r="F70" t="str">
        <f t="shared" si="5"/>
        <v>0201345555555555</v>
      </c>
      <c r="G70" t="s">
        <v>966</v>
      </c>
      <c r="H70" t="s">
        <v>353</v>
      </c>
      <c r="I70" t="str">
        <f t="shared" si="6"/>
        <v>S1_PID_34_OxySensor1_FAER</v>
      </c>
      <c r="J70" t="s">
        <v>86</v>
      </c>
      <c r="K70" t="s">
        <v>354</v>
      </c>
      <c r="L70">
        <v>31</v>
      </c>
      <c r="M70">
        <v>16</v>
      </c>
      <c r="N70">
        <v>3.0517578130000002E-5</v>
      </c>
      <c r="O70">
        <v>0</v>
      </c>
      <c r="P70">
        <v>0</v>
      </c>
      <c r="Q70">
        <v>2</v>
      </c>
      <c r="R70" t="s">
        <v>68</v>
      </c>
      <c r="S70" t="s">
        <v>355</v>
      </c>
      <c r="T70" t="s">
        <v>356</v>
      </c>
      <c r="U70" t="s">
        <v>243</v>
      </c>
      <c r="V70" t="str">
        <f t="shared" si="7"/>
        <v>ratio</v>
      </c>
    </row>
    <row r="71" spans="1:22" x14ac:dyDescent="0.25">
      <c r="A71" t="s">
        <v>720</v>
      </c>
      <c r="B71">
        <v>52</v>
      </c>
      <c r="C71">
        <v>34</v>
      </c>
      <c r="D71" t="str">
        <f t="shared" si="4"/>
        <v>34</v>
      </c>
      <c r="E71" t="s">
        <v>745</v>
      </c>
      <c r="F71" t="str">
        <f t="shared" si="5"/>
        <v>0201345555555555</v>
      </c>
      <c r="G71" t="s">
        <v>966</v>
      </c>
      <c r="H71" t="s">
        <v>397</v>
      </c>
      <c r="I71" t="str">
        <f t="shared" si="6"/>
        <v>S1_PID_34_OxySensor1_Crnt</v>
      </c>
      <c r="J71" t="s">
        <v>180</v>
      </c>
      <c r="K71" t="s">
        <v>398</v>
      </c>
      <c r="L71">
        <v>47</v>
      </c>
      <c r="M71">
        <v>16</v>
      </c>
      <c r="N71">
        <v>3.90625E-3</v>
      </c>
      <c r="O71">
        <v>-128</v>
      </c>
      <c r="P71">
        <v>-128</v>
      </c>
      <c r="Q71">
        <v>128</v>
      </c>
      <c r="R71" t="s">
        <v>181</v>
      </c>
      <c r="S71" t="s">
        <v>399</v>
      </c>
      <c r="T71" t="s">
        <v>400</v>
      </c>
      <c r="U71" t="s">
        <v>358</v>
      </c>
      <c r="V71" t="str">
        <f t="shared" si="7"/>
        <v>mA</v>
      </c>
    </row>
    <row r="72" spans="1:22" x14ac:dyDescent="0.25">
      <c r="A72" t="s">
        <v>720</v>
      </c>
      <c r="B72">
        <v>53</v>
      </c>
      <c r="C72">
        <v>35</v>
      </c>
      <c r="D72" t="str">
        <f t="shared" si="4"/>
        <v>35</v>
      </c>
      <c r="E72" t="s">
        <v>746</v>
      </c>
      <c r="F72" t="str">
        <f t="shared" si="5"/>
        <v>0201355555555555</v>
      </c>
      <c r="G72" t="s">
        <v>967</v>
      </c>
      <c r="H72" t="s">
        <v>359</v>
      </c>
      <c r="I72" t="str">
        <f t="shared" si="6"/>
        <v>S1_PID_35_OxySensor2_FAER</v>
      </c>
      <c r="J72" t="s">
        <v>87</v>
      </c>
      <c r="K72" t="s">
        <v>360</v>
      </c>
      <c r="L72">
        <v>31</v>
      </c>
      <c r="M72">
        <v>16</v>
      </c>
      <c r="N72">
        <v>3.0517578130000002E-5</v>
      </c>
      <c r="O72">
        <v>0</v>
      </c>
      <c r="P72">
        <v>0</v>
      </c>
      <c r="Q72">
        <v>2</v>
      </c>
      <c r="R72" t="s">
        <v>68</v>
      </c>
      <c r="S72" t="s">
        <v>355</v>
      </c>
      <c r="T72" t="s">
        <v>356</v>
      </c>
      <c r="U72" t="s">
        <v>243</v>
      </c>
      <c r="V72" t="str">
        <f t="shared" si="7"/>
        <v>ratio</v>
      </c>
    </row>
    <row r="73" spans="1:22" x14ac:dyDescent="0.25">
      <c r="A73" t="s">
        <v>720</v>
      </c>
      <c r="B73">
        <v>53</v>
      </c>
      <c r="C73">
        <v>35</v>
      </c>
      <c r="D73" t="str">
        <f t="shared" si="4"/>
        <v>35</v>
      </c>
      <c r="E73" t="s">
        <v>746</v>
      </c>
      <c r="F73" t="str">
        <f t="shared" si="5"/>
        <v>0201355555555555</v>
      </c>
      <c r="G73" t="s">
        <v>967</v>
      </c>
      <c r="H73" t="s">
        <v>401</v>
      </c>
      <c r="I73" t="str">
        <f t="shared" si="6"/>
        <v>S1_PID_35_OxySensor2_Crnt</v>
      </c>
      <c r="J73" t="s">
        <v>182</v>
      </c>
      <c r="K73" t="s">
        <v>402</v>
      </c>
      <c r="L73">
        <v>47</v>
      </c>
      <c r="M73">
        <v>16</v>
      </c>
      <c r="N73">
        <v>3.90625E-3</v>
      </c>
      <c r="O73">
        <v>-128</v>
      </c>
      <c r="P73">
        <v>-128</v>
      </c>
      <c r="Q73">
        <v>128</v>
      </c>
      <c r="R73" t="s">
        <v>181</v>
      </c>
      <c r="S73" t="s">
        <v>399</v>
      </c>
      <c r="T73" t="s">
        <v>400</v>
      </c>
      <c r="U73" t="s">
        <v>358</v>
      </c>
      <c r="V73" t="str">
        <f t="shared" si="7"/>
        <v>mA</v>
      </c>
    </row>
    <row r="74" spans="1:22" x14ac:dyDescent="0.25">
      <c r="A74" t="s">
        <v>720</v>
      </c>
      <c r="B74">
        <v>54</v>
      </c>
      <c r="C74">
        <v>36</v>
      </c>
      <c r="D74" t="str">
        <f t="shared" si="4"/>
        <v>36</v>
      </c>
      <c r="E74" t="s">
        <v>747</v>
      </c>
      <c r="F74" t="str">
        <f t="shared" si="5"/>
        <v>0201365555555555</v>
      </c>
      <c r="G74" t="s">
        <v>968</v>
      </c>
      <c r="H74" t="s">
        <v>362</v>
      </c>
      <c r="I74" t="str">
        <f t="shared" si="6"/>
        <v>S1_PID_36_OxySensor3_FAER</v>
      </c>
      <c r="J74" t="s">
        <v>88</v>
      </c>
      <c r="K74" t="s">
        <v>363</v>
      </c>
      <c r="L74">
        <v>31</v>
      </c>
      <c r="M74">
        <v>16</v>
      </c>
      <c r="N74">
        <v>3.0517578130000002E-5</v>
      </c>
      <c r="O74">
        <v>0</v>
      </c>
      <c r="P74">
        <v>0</v>
      </c>
      <c r="Q74">
        <v>2</v>
      </c>
      <c r="R74" t="s">
        <v>68</v>
      </c>
      <c r="S74" t="s">
        <v>355</v>
      </c>
      <c r="T74" t="s">
        <v>356</v>
      </c>
      <c r="U74" t="s">
        <v>243</v>
      </c>
      <c r="V74" t="str">
        <f t="shared" si="7"/>
        <v>ratio</v>
      </c>
    </row>
    <row r="75" spans="1:22" x14ac:dyDescent="0.25">
      <c r="A75" t="s">
        <v>720</v>
      </c>
      <c r="B75">
        <v>54</v>
      </c>
      <c r="C75">
        <v>36</v>
      </c>
      <c r="D75" t="str">
        <f t="shared" si="4"/>
        <v>36</v>
      </c>
      <c r="E75" t="s">
        <v>747</v>
      </c>
      <c r="F75" t="str">
        <f t="shared" si="5"/>
        <v>0201365555555555</v>
      </c>
      <c r="G75" t="s">
        <v>968</v>
      </c>
      <c r="H75" t="s">
        <v>403</v>
      </c>
      <c r="I75" t="str">
        <f t="shared" si="6"/>
        <v>S1_PID_36_OxySensor3_Crnt</v>
      </c>
      <c r="J75" t="s">
        <v>183</v>
      </c>
      <c r="K75" t="s">
        <v>404</v>
      </c>
      <c r="L75">
        <v>47</v>
      </c>
      <c r="M75">
        <v>16</v>
      </c>
      <c r="N75">
        <v>3.90625E-3</v>
      </c>
      <c r="O75">
        <v>-128</v>
      </c>
      <c r="P75">
        <v>-128</v>
      </c>
      <c r="Q75">
        <v>128</v>
      </c>
      <c r="R75" t="s">
        <v>181</v>
      </c>
      <c r="S75" t="s">
        <v>399</v>
      </c>
      <c r="T75" t="s">
        <v>400</v>
      </c>
      <c r="U75" t="s">
        <v>358</v>
      </c>
      <c r="V75" t="str">
        <f t="shared" si="7"/>
        <v>mA</v>
      </c>
    </row>
    <row r="76" spans="1:22" x14ac:dyDescent="0.25">
      <c r="A76" t="s">
        <v>720</v>
      </c>
      <c r="B76">
        <v>55</v>
      </c>
      <c r="C76">
        <v>37</v>
      </c>
      <c r="D76" t="str">
        <f t="shared" si="4"/>
        <v>37</v>
      </c>
      <c r="E76" t="s">
        <v>748</v>
      </c>
      <c r="F76" t="str">
        <f t="shared" si="5"/>
        <v>0201375555555555</v>
      </c>
      <c r="G76" t="s">
        <v>969</v>
      </c>
      <c r="H76" t="s">
        <v>364</v>
      </c>
      <c r="I76" t="str">
        <f t="shared" si="6"/>
        <v>S1_PID_37_OxySensor4_FAER</v>
      </c>
      <c r="J76" t="s">
        <v>89</v>
      </c>
      <c r="K76" t="s">
        <v>365</v>
      </c>
      <c r="L76">
        <v>31</v>
      </c>
      <c r="M76">
        <v>16</v>
      </c>
      <c r="N76">
        <v>3.0517578130000002E-5</v>
      </c>
      <c r="O76">
        <v>0</v>
      </c>
      <c r="P76">
        <v>0</v>
      </c>
      <c r="Q76">
        <v>2</v>
      </c>
      <c r="R76" t="s">
        <v>68</v>
      </c>
      <c r="S76" t="s">
        <v>355</v>
      </c>
      <c r="T76" t="s">
        <v>356</v>
      </c>
      <c r="U76" t="s">
        <v>243</v>
      </c>
      <c r="V76" t="str">
        <f t="shared" si="7"/>
        <v>ratio</v>
      </c>
    </row>
    <row r="77" spans="1:22" x14ac:dyDescent="0.25">
      <c r="A77" t="s">
        <v>720</v>
      </c>
      <c r="B77">
        <v>55</v>
      </c>
      <c r="C77">
        <v>37</v>
      </c>
      <c r="D77" t="str">
        <f t="shared" si="4"/>
        <v>37</v>
      </c>
      <c r="E77" t="s">
        <v>748</v>
      </c>
      <c r="F77" t="str">
        <f t="shared" si="5"/>
        <v>0201375555555555</v>
      </c>
      <c r="G77" t="s">
        <v>969</v>
      </c>
      <c r="H77" t="s">
        <v>405</v>
      </c>
      <c r="I77" t="str">
        <f t="shared" si="6"/>
        <v>S1_PID_37_OxySensor4_Crnt</v>
      </c>
      <c r="J77" t="s">
        <v>184</v>
      </c>
      <c r="K77" t="s">
        <v>406</v>
      </c>
      <c r="L77">
        <v>47</v>
      </c>
      <c r="M77">
        <v>16</v>
      </c>
      <c r="N77">
        <v>3.90625E-3</v>
      </c>
      <c r="O77">
        <v>-128</v>
      </c>
      <c r="P77">
        <v>-128</v>
      </c>
      <c r="Q77">
        <v>128</v>
      </c>
      <c r="R77" t="s">
        <v>181</v>
      </c>
      <c r="S77" t="s">
        <v>399</v>
      </c>
      <c r="T77" t="s">
        <v>400</v>
      </c>
      <c r="U77" t="s">
        <v>358</v>
      </c>
      <c r="V77" t="str">
        <f t="shared" si="7"/>
        <v>mA</v>
      </c>
    </row>
    <row r="78" spans="1:22" x14ac:dyDescent="0.25">
      <c r="A78" t="s">
        <v>720</v>
      </c>
      <c r="B78">
        <v>56</v>
      </c>
      <c r="C78">
        <v>38</v>
      </c>
      <c r="D78" t="str">
        <f t="shared" si="4"/>
        <v>38</v>
      </c>
      <c r="E78" t="s">
        <v>749</v>
      </c>
      <c r="F78" t="str">
        <f t="shared" si="5"/>
        <v>0201385555555555</v>
      </c>
      <c r="G78" t="s">
        <v>970</v>
      </c>
      <c r="H78" t="s">
        <v>366</v>
      </c>
      <c r="I78" t="str">
        <f t="shared" si="6"/>
        <v>S1_PID_38_OxySensor5_FAER</v>
      </c>
      <c r="J78" t="s">
        <v>90</v>
      </c>
      <c r="K78" t="s">
        <v>367</v>
      </c>
      <c r="L78">
        <v>31</v>
      </c>
      <c r="M78">
        <v>16</v>
      </c>
      <c r="N78">
        <v>3.0517578130000002E-5</v>
      </c>
      <c r="O78">
        <v>0</v>
      </c>
      <c r="P78">
        <v>0</v>
      </c>
      <c r="Q78">
        <v>2</v>
      </c>
      <c r="R78" t="s">
        <v>68</v>
      </c>
      <c r="S78" t="s">
        <v>355</v>
      </c>
      <c r="T78" t="s">
        <v>356</v>
      </c>
      <c r="U78" t="s">
        <v>243</v>
      </c>
      <c r="V78" t="str">
        <f t="shared" si="7"/>
        <v>ratio</v>
      </c>
    </row>
    <row r="79" spans="1:22" x14ac:dyDescent="0.25">
      <c r="A79" t="s">
        <v>720</v>
      </c>
      <c r="B79">
        <v>56</v>
      </c>
      <c r="C79">
        <v>38</v>
      </c>
      <c r="D79" t="str">
        <f t="shared" si="4"/>
        <v>38</v>
      </c>
      <c r="E79" t="s">
        <v>749</v>
      </c>
      <c r="F79" t="str">
        <f t="shared" si="5"/>
        <v>0201385555555555</v>
      </c>
      <c r="G79" t="s">
        <v>970</v>
      </c>
      <c r="H79" t="s">
        <v>407</v>
      </c>
      <c r="I79" t="str">
        <f t="shared" si="6"/>
        <v>S1_PID_38_OxySensor5_Crnt</v>
      </c>
      <c r="J79" t="s">
        <v>185</v>
      </c>
      <c r="K79" t="s">
        <v>408</v>
      </c>
      <c r="L79">
        <v>47</v>
      </c>
      <c r="M79">
        <v>16</v>
      </c>
      <c r="N79">
        <v>3.90625E-3</v>
      </c>
      <c r="O79">
        <v>-128</v>
      </c>
      <c r="P79">
        <v>-128</v>
      </c>
      <c r="Q79">
        <v>128</v>
      </c>
      <c r="R79" t="s">
        <v>181</v>
      </c>
      <c r="S79" t="s">
        <v>399</v>
      </c>
      <c r="T79" t="s">
        <v>400</v>
      </c>
      <c r="U79" t="s">
        <v>358</v>
      </c>
      <c r="V79" t="str">
        <f t="shared" si="7"/>
        <v>mA</v>
      </c>
    </row>
    <row r="80" spans="1:22" x14ac:dyDescent="0.25">
      <c r="A80" t="s">
        <v>720</v>
      </c>
      <c r="B80">
        <v>57</v>
      </c>
      <c r="C80">
        <v>39</v>
      </c>
      <c r="D80" t="str">
        <f t="shared" si="4"/>
        <v>39</v>
      </c>
      <c r="E80" t="s">
        <v>750</v>
      </c>
      <c r="F80" t="str">
        <f t="shared" si="5"/>
        <v>0201395555555555</v>
      </c>
      <c r="G80" t="s">
        <v>971</v>
      </c>
      <c r="H80" t="s">
        <v>368</v>
      </c>
      <c r="I80" t="str">
        <f t="shared" si="6"/>
        <v>S1_PID_39_OxySensor6_FAER</v>
      </c>
      <c r="J80" t="s">
        <v>91</v>
      </c>
      <c r="K80" t="s">
        <v>369</v>
      </c>
      <c r="L80">
        <v>31</v>
      </c>
      <c r="M80">
        <v>16</v>
      </c>
      <c r="N80">
        <v>3.0517578130000002E-5</v>
      </c>
      <c r="O80">
        <v>0</v>
      </c>
      <c r="P80">
        <v>0</v>
      </c>
      <c r="Q80">
        <v>2</v>
      </c>
      <c r="R80" t="s">
        <v>68</v>
      </c>
      <c r="S80" t="s">
        <v>355</v>
      </c>
      <c r="T80" t="s">
        <v>356</v>
      </c>
      <c r="U80" t="s">
        <v>243</v>
      </c>
      <c r="V80" t="str">
        <f t="shared" si="7"/>
        <v>ratio</v>
      </c>
    </row>
    <row r="81" spans="1:22" x14ac:dyDescent="0.25">
      <c r="A81" t="s">
        <v>720</v>
      </c>
      <c r="B81">
        <v>57</v>
      </c>
      <c r="C81">
        <v>39</v>
      </c>
      <c r="D81" t="str">
        <f t="shared" si="4"/>
        <v>39</v>
      </c>
      <c r="E81" t="s">
        <v>750</v>
      </c>
      <c r="F81" t="str">
        <f t="shared" si="5"/>
        <v>0201395555555555</v>
      </c>
      <c r="G81" t="s">
        <v>971</v>
      </c>
      <c r="H81" t="s">
        <v>409</v>
      </c>
      <c r="I81" t="str">
        <f t="shared" si="6"/>
        <v>S1_PID_39_OxySensor6_Crnt</v>
      </c>
      <c r="J81" t="s">
        <v>186</v>
      </c>
      <c r="K81" t="s">
        <v>410</v>
      </c>
      <c r="L81">
        <v>47</v>
      </c>
      <c r="M81">
        <v>16</v>
      </c>
      <c r="N81">
        <v>3.90625E-3</v>
      </c>
      <c r="O81">
        <v>-128</v>
      </c>
      <c r="P81">
        <v>-128</v>
      </c>
      <c r="Q81">
        <v>128</v>
      </c>
      <c r="R81" t="s">
        <v>181</v>
      </c>
      <c r="S81" t="s">
        <v>399</v>
      </c>
      <c r="T81" t="s">
        <v>400</v>
      </c>
      <c r="U81" t="s">
        <v>358</v>
      </c>
      <c r="V81" t="str">
        <f t="shared" si="7"/>
        <v>mA</v>
      </c>
    </row>
    <row r="82" spans="1:22" x14ac:dyDescent="0.25">
      <c r="A82" t="s">
        <v>720</v>
      </c>
      <c r="B82">
        <v>58</v>
      </c>
      <c r="C82" t="s">
        <v>411</v>
      </c>
      <c r="D82" t="str">
        <f t="shared" si="4"/>
        <v>3A</v>
      </c>
      <c r="E82" t="s">
        <v>411</v>
      </c>
      <c r="F82" t="str">
        <f t="shared" si="5"/>
        <v>02013A5555555555</v>
      </c>
      <c r="G82" t="s">
        <v>972</v>
      </c>
      <c r="H82" t="s">
        <v>371</v>
      </c>
      <c r="I82" t="str">
        <f t="shared" si="6"/>
        <v>S1_PID_3A_OxySensor7_FAER</v>
      </c>
      <c r="J82" t="s">
        <v>92</v>
      </c>
      <c r="K82" t="s">
        <v>372</v>
      </c>
      <c r="L82">
        <v>31</v>
      </c>
      <c r="M82">
        <v>16</v>
      </c>
      <c r="N82">
        <v>3.0517578130000002E-5</v>
      </c>
      <c r="O82">
        <v>0</v>
      </c>
      <c r="P82">
        <v>0</v>
      </c>
      <c r="Q82">
        <v>2</v>
      </c>
      <c r="R82" t="s">
        <v>68</v>
      </c>
      <c r="S82" t="s">
        <v>355</v>
      </c>
      <c r="T82" t="s">
        <v>356</v>
      </c>
      <c r="U82" t="s">
        <v>243</v>
      </c>
      <c r="V82" t="str">
        <f t="shared" si="7"/>
        <v>ratio</v>
      </c>
    </row>
    <row r="83" spans="1:22" x14ac:dyDescent="0.25">
      <c r="A83" t="s">
        <v>720</v>
      </c>
      <c r="B83">
        <v>59</v>
      </c>
      <c r="C83" t="s">
        <v>411</v>
      </c>
      <c r="D83" t="str">
        <f t="shared" si="4"/>
        <v>3B</v>
      </c>
      <c r="E83" t="s">
        <v>414</v>
      </c>
      <c r="F83" t="str">
        <f t="shared" si="5"/>
        <v>02013B5555555555</v>
      </c>
      <c r="G83" t="s">
        <v>973</v>
      </c>
      <c r="H83" t="s">
        <v>412</v>
      </c>
      <c r="I83" t="str">
        <f t="shared" si="6"/>
        <v>S1_PID_3B_OxySensor7_Crnt</v>
      </c>
      <c r="J83" t="s">
        <v>851</v>
      </c>
      <c r="K83" t="s">
        <v>413</v>
      </c>
      <c r="L83">
        <v>47</v>
      </c>
      <c r="M83">
        <v>16</v>
      </c>
      <c r="N83">
        <v>3.90625E-3</v>
      </c>
      <c r="O83">
        <v>-128</v>
      </c>
      <c r="P83">
        <v>-128</v>
      </c>
      <c r="Q83">
        <v>128</v>
      </c>
      <c r="R83" t="s">
        <v>181</v>
      </c>
      <c r="S83" t="s">
        <v>399</v>
      </c>
      <c r="T83" t="s">
        <v>400</v>
      </c>
      <c r="U83" t="s">
        <v>358</v>
      </c>
      <c r="V83" t="str">
        <f t="shared" si="7"/>
        <v>mA</v>
      </c>
    </row>
    <row r="84" spans="1:22" x14ac:dyDescent="0.25">
      <c r="A84" t="s">
        <v>720</v>
      </c>
      <c r="B84">
        <v>59</v>
      </c>
      <c r="C84" t="s">
        <v>414</v>
      </c>
      <c r="D84" t="str">
        <f t="shared" si="4"/>
        <v>3B</v>
      </c>
      <c r="E84" t="s">
        <v>414</v>
      </c>
      <c r="F84" t="str">
        <f t="shared" si="5"/>
        <v>02013B5555555555</v>
      </c>
      <c r="G84" t="s">
        <v>973</v>
      </c>
      <c r="H84" t="s">
        <v>374</v>
      </c>
      <c r="I84" t="str">
        <f t="shared" si="6"/>
        <v>S1_PID_3B_OxySensor8_FAER</v>
      </c>
      <c r="J84" t="s">
        <v>93</v>
      </c>
      <c r="K84" t="s">
        <v>375</v>
      </c>
      <c r="L84">
        <v>31</v>
      </c>
      <c r="M84">
        <v>16</v>
      </c>
      <c r="N84">
        <v>3.0517578130000002E-5</v>
      </c>
      <c r="O84">
        <v>0</v>
      </c>
      <c r="P84">
        <v>0</v>
      </c>
      <c r="Q84">
        <v>2</v>
      </c>
      <c r="R84" t="s">
        <v>68</v>
      </c>
      <c r="S84" t="s">
        <v>355</v>
      </c>
      <c r="T84" t="s">
        <v>356</v>
      </c>
      <c r="U84" t="s">
        <v>243</v>
      </c>
      <c r="V84" t="str">
        <f t="shared" si="7"/>
        <v>ratio</v>
      </c>
    </row>
    <row r="85" spans="1:22" x14ac:dyDescent="0.25">
      <c r="A85" t="s">
        <v>720</v>
      </c>
      <c r="B85">
        <v>60</v>
      </c>
      <c r="C85" t="s">
        <v>414</v>
      </c>
      <c r="D85" t="str">
        <f t="shared" si="4"/>
        <v>3C</v>
      </c>
      <c r="E85" t="s">
        <v>417</v>
      </c>
      <c r="F85" t="str">
        <f t="shared" si="5"/>
        <v>02013C5555555555</v>
      </c>
      <c r="G85" t="s">
        <v>974</v>
      </c>
      <c r="H85" t="s">
        <v>415</v>
      </c>
      <c r="I85" t="str">
        <f t="shared" si="6"/>
        <v>S1_PID_3C_OxySensor8_Crnt</v>
      </c>
      <c r="J85" t="s">
        <v>852</v>
      </c>
      <c r="K85" t="s">
        <v>416</v>
      </c>
      <c r="L85">
        <v>47</v>
      </c>
      <c r="M85">
        <v>16</v>
      </c>
      <c r="N85">
        <v>3.90625E-3</v>
      </c>
      <c r="O85">
        <v>-128</v>
      </c>
      <c r="P85">
        <v>-128</v>
      </c>
      <c r="Q85">
        <v>128</v>
      </c>
      <c r="R85" t="s">
        <v>181</v>
      </c>
      <c r="S85" t="s">
        <v>399</v>
      </c>
      <c r="T85" t="s">
        <v>400</v>
      </c>
      <c r="U85" t="s">
        <v>358</v>
      </c>
      <c r="V85" t="str">
        <f t="shared" si="7"/>
        <v>mA</v>
      </c>
    </row>
    <row r="86" spans="1:22" x14ac:dyDescent="0.25">
      <c r="A86" t="s">
        <v>720</v>
      </c>
      <c r="B86">
        <v>60</v>
      </c>
      <c r="C86" t="s">
        <v>417</v>
      </c>
      <c r="D86" t="str">
        <f t="shared" si="4"/>
        <v>3C</v>
      </c>
      <c r="E86" t="s">
        <v>417</v>
      </c>
      <c r="F86" t="str">
        <f t="shared" si="5"/>
        <v>02013C5555555555</v>
      </c>
      <c r="G86" t="s">
        <v>974</v>
      </c>
      <c r="H86" t="s">
        <v>418</v>
      </c>
      <c r="I86" t="str">
        <f t="shared" si="6"/>
        <v>S1_PID_3C_CatTempBank1Sens1</v>
      </c>
      <c r="J86" t="s">
        <v>94</v>
      </c>
      <c r="K86" t="s">
        <v>419</v>
      </c>
      <c r="L86">
        <v>31</v>
      </c>
      <c r="M86">
        <v>16</v>
      </c>
      <c r="N86">
        <v>0.1</v>
      </c>
      <c r="O86">
        <v>-40</v>
      </c>
      <c r="P86">
        <v>-40</v>
      </c>
      <c r="Q86">
        <v>6514</v>
      </c>
      <c r="R86" t="s">
        <v>31</v>
      </c>
      <c r="S86">
        <v>0.1</v>
      </c>
      <c r="T86" t="s">
        <v>420</v>
      </c>
      <c r="U86" t="s">
        <v>243</v>
      </c>
      <c r="V86" t="str">
        <f t="shared" si="7"/>
        <v>degC</v>
      </c>
    </row>
    <row r="87" spans="1:22" x14ac:dyDescent="0.25">
      <c r="A87" t="s">
        <v>720</v>
      </c>
      <c r="B87">
        <v>61</v>
      </c>
      <c r="C87" t="s">
        <v>421</v>
      </c>
      <c r="D87" t="str">
        <f t="shared" si="4"/>
        <v>3D</v>
      </c>
      <c r="E87" t="s">
        <v>421</v>
      </c>
      <c r="F87" t="str">
        <f t="shared" si="5"/>
        <v>02013D5555555555</v>
      </c>
      <c r="G87" t="s">
        <v>975</v>
      </c>
      <c r="H87" t="s">
        <v>422</v>
      </c>
      <c r="I87" t="str">
        <f t="shared" si="6"/>
        <v>S1_PID_3D_CatTempBank2Sens1</v>
      </c>
      <c r="J87" t="s">
        <v>95</v>
      </c>
      <c r="K87" t="s">
        <v>423</v>
      </c>
      <c r="L87">
        <v>31</v>
      </c>
      <c r="M87">
        <v>16</v>
      </c>
      <c r="N87">
        <v>0.1</v>
      </c>
      <c r="O87">
        <v>-40</v>
      </c>
      <c r="P87">
        <v>-40</v>
      </c>
      <c r="Q87">
        <v>6514</v>
      </c>
      <c r="R87" t="s">
        <v>31</v>
      </c>
      <c r="S87">
        <v>0.1</v>
      </c>
      <c r="T87" t="s">
        <v>420</v>
      </c>
      <c r="U87" t="s">
        <v>243</v>
      </c>
      <c r="V87" t="str">
        <f t="shared" si="7"/>
        <v>degC</v>
      </c>
    </row>
    <row r="88" spans="1:22" x14ac:dyDescent="0.25">
      <c r="A88" t="s">
        <v>720</v>
      </c>
      <c r="B88">
        <v>62</v>
      </c>
      <c r="C88" t="s">
        <v>424</v>
      </c>
      <c r="D88" t="str">
        <f t="shared" si="4"/>
        <v>3E</v>
      </c>
      <c r="E88" t="s">
        <v>424</v>
      </c>
      <c r="F88" t="str">
        <f t="shared" si="5"/>
        <v>02013E5555555555</v>
      </c>
      <c r="G88" t="s">
        <v>976</v>
      </c>
      <c r="H88" t="s">
        <v>425</v>
      </c>
      <c r="I88" t="str">
        <f t="shared" si="6"/>
        <v>S1_PID_3E_CatTempBank1Sens2</v>
      </c>
      <c r="J88" t="s">
        <v>96</v>
      </c>
      <c r="K88" t="s">
        <v>426</v>
      </c>
      <c r="L88">
        <v>31</v>
      </c>
      <c r="M88">
        <v>16</v>
      </c>
      <c r="N88">
        <v>0.1</v>
      </c>
      <c r="O88">
        <v>-40</v>
      </c>
      <c r="P88">
        <v>-40</v>
      </c>
      <c r="Q88">
        <v>6514</v>
      </c>
      <c r="R88" t="s">
        <v>31</v>
      </c>
      <c r="S88">
        <v>0.1</v>
      </c>
      <c r="T88" t="s">
        <v>420</v>
      </c>
      <c r="U88" t="s">
        <v>243</v>
      </c>
      <c r="V88" t="str">
        <f t="shared" si="7"/>
        <v>degC</v>
      </c>
    </row>
    <row r="89" spans="1:22" x14ac:dyDescent="0.25">
      <c r="A89" t="s">
        <v>720</v>
      </c>
      <c r="B89">
        <v>63</v>
      </c>
      <c r="C89" t="s">
        <v>427</v>
      </c>
      <c r="D89" t="str">
        <f t="shared" si="4"/>
        <v>3F</v>
      </c>
      <c r="E89" t="s">
        <v>427</v>
      </c>
      <c r="F89" t="str">
        <f t="shared" si="5"/>
        <v>02013F5555555555</v>
      </c>
      <c r="G89" t="s">
        <v>977</v>
      </c>
      <c r="H89" t="s">
        <v>428</v>
      </c>
      <c r="I89" t="str">
        <f t="shared" si="6"/>
        <v>S1_PID_3F_CatTempBank2Sens2</v>
      </c>
      <c r="J89" t="s">
        <v>97</v>
      </c>
      <c r="K89" t="s">
        <v>429</v>
      </c>
      <c r="L89">
        <v>31</v>
      </c>
      <c r="M89">
        <v>16</v>
      </c>
      <c r="N89">
        <v>0.1</v>
      </c>
      <c r="O89">
        <v>-40</v>
      </c>
      <c r="P89">
        <v>-40</v>
      </c>
      <c r="Q89">
        <v>6514</v>
      </c>
      <c r="R89" t="s">
        <v>31</v>
      </c>
      <c r="S89">
        <v>0.1</v>
      </c>
      <c r="T89" t="s">
        <v>420</v>
      </c>
      <c r="U89" t="s">
        <v>243</v>
      </c>
      <c r="V89" t="str">
        <f t="shared" si="7"/>
        <v>degC</v>
      </c>
    </row>
    <row r="90" spans="1:22" x14ac:dyDescent="0.25">
      <c r="A90" t="s">
        <v>720</v>
      </c>
      <c r="B90">
        <v>64</v>
      </c>
      <c r="C90">
        <v>40</v>
      </c>
      <c r="D90" t="str">
        <f t="shared" si="4"/>
        <v>40</v>
      </c>
      <c r="E90" t="s">
        <v>751</v>
      </c>
      <c r="F90" t="str">
        <f t="shared" si="5"/>
        <v>0201405555555555</v>
      </c>
      <c r="G90" t="s">
        <v>978</v>
      </c>
      <c r="H90" t="s">
        <v>430</v>
      </c>
      <c r="I90" t="str">
        <f t="shared" si="6"/>
        <v>S1_PID_40_PIDsSupported_41_60</v>
      </c>
      <c r="J90" t="s">
        <v>98</v>
      </c>
      <c r="K90" t="s">
        <v>431</v>
      </c>
      <c r="L90">
        <v>31</v>
      </c>
      <c r="M90">
        <v>32</v>
      </c>
      <c r="N90">
        <v>1</v>
      </c>
      <c r="O90">
        <v>0</v>
      </c>
      <c r="R90" t="s">
        <v>237</v>
      </c>
      <c r="S90">
        <v>1</v>
      </c>
      <c r="U90" t="s">
        <v>238</v>
      </c>
      <c r="V90" t="str">
        <f t="shared" si="7"/>
        <v>Encoded</v>
      </c>
    </row>
    <row r="91" spans="1:22" x14ac:dyDescent="0.25">
      <c r="A91" t="s">
        <v>720</v>
      </c>
      <c r="B91">
        <v>65</v>
      </c>
      <c r="C91">
        <v>41</v>
      </c>
      <c r="D91" t="str">
        <f t="shared" si="4"/>
        <v>41</v>
      </c>
      <c r="E91" t="s">
        <v>752</v>
      </c>
      <c r="F91" t="str">
        <f t="shared" si="5"/>
        <v>0201415555555555</v>
      </c>
      <c r="G91" t="s">
        <v>979</v>
      </c>
      <c r="H91" t="s">
        <v>432</v>
      </c>
      <c r="I91" t="str">
        <f t="shared" si="6"/>
        <v>S1_PID_41_MonStatusDriveCycle</v>
      </c>
      <c r="J91" t="s">
        <v>99</v>
      </c>
      <c r="K91" t="s">
        <v>433</v>
      </c>
      <c r="L91">
        <v>31</v>
      </c>
      <c r="M91">
        <v>32</v>
      </c>
      <c r="N91">
        <v>1</v>
      </c>
      <c r="O91">
        <v>0</v>
      </c>
      <c r="R91" t="s">
        <v>237</v>
      </c>
      <c r="S91">
        <v>1</v>
      </c>
      <c r="U91" t="s">
        <v>238</v>
      </c>
      <c r="V91" t="str">
        <f t="shared" si="7"/>
        <v>Encoded</v>
      </c>
    </row>
    <row r="92" spans="1:22" x14ac:dyDescent="0.25">
      <c r="A92" t="s">
        <v>720</v>
      </c>
      <c r="B92">
        <v>66</v>
      </c>
      <c r="C92">
        <v>42</v>
      </c>
      <c r="D92" t="str">
        <f t="shared" si="4"/>
        <v>42</v>
      </c>
      <c r="E92" t="s">
        <v>753</v>
      </c>
      <c r="F92" t="str">
        <f t="shared" si="5"/>
        <v>0201425555555555</v>
      </c>
      <c r="G92" t="s">
        <v>980</v>
      </c>
      <c r="H92" t="s">
        <v>434</v>
      </c>
      <c r="I92" t="str">
        <f t="shared" si="6"/>
        <v>S1_PID_42_ControlModuleVolt</v>
      </c>
      <c r="J92" t="s">
        <v>100</v>
      </c>
      <c r="K92" t="s">
        <v>435</v>
      </c>
      <c r="L92">
        <v>31</v>
      </c>
      <c r="M92">
        <v>16</v>
      </c>
      <c r="N92">
        <v>1E-3</v>
      </c>
      <c r="O92">
        <v>0</v>
      </c>
      <c r="P92">
        <v>0</v>
      </c>
      <c r="Q92">
        <v>66</v>
      </c>
      <c r="R92" t="s">
        <v>101</v>
      </c>
      <c r="S92">
        <v>1E-3</v>
      </c>
      <c r="T92" t="s">
        <v>436</v>
      </c>
      <c r="U92" t="s">
        <v>243</v>
      </c>
      <c r="V92" t="str">
        <f t="shared" si="7"/>
        <v>V</v>
      </c>
    </row>
    <row r="93" spans="1:22" x14ac:dyDescent="0.25">
      <c r="A93" t="s">
        <v>720</v>
      </c>
      <c r="B93">
        <v>67</v>
      </c>
      <c r="C93">
        <v>43</v>
      </c>
      <c r="D93" t="str">
        <f t="shared" si="4"/>
        <v>43</v>
      </c>
      <c r="E93" t="s">
        <v>754</v>
      </c>
      <c r="F93" t="str">
        <f t="shared" si="5"/>
        <v>0201435555555555</v>
      </c>
      <c r="G93" t="s">
        <v>981</v>
      </c>
      <c r="H93" t="s">
        <v>437</v>
      </c>
      <c r="I93" t="str">
        <f t="shared" si="6"/>
        <v>S1_PID_43_AbsLoadValue</v>
      </c>
      <c r="J93" t="s">
        <v>102</v>
      </c>
      <c r="K93" t="s">
        <v>438</v>
      </c>
      <c r="L93">
        <v>31</v>
      </c>
      <c r="M93">
        <v>16</v>
      </c>
      <c r="N93">
        <v>0.3921568627</v>
      </c>
      <c r="O93">
        <v>0</v>
      </c>
      <c r="P93">
        <v>0</v>
      </c>
      <c r="Q93">
        <v>25700</v>
      </c>
      <c r="R93" t="s">
        <v>29</v>
      </c>
      <c r="S93" t="s">
        <v>248</v>
      </c>
      <c r="T93" t="s">
        <v>439</v>
      </c>
      <c r="U93" t="s">
        <v>243</v>
      </c>
      <c r="V93" t="str">
        <f t="shared" si="7"/>
        <v>%</v>
      </c>
    </row>
    <row r="94" spans="1:22" x14ac:dyDescent="0.25">
      <c r="A94" t="s">
        <v>720</v>
      </c>
      <c r="B94">
        <v>68</v>
      </c>
      <c r="C94">
        <v>44</v>
      </c>
      <c r="D94" t="str">
        <f t="shared" si="4"/>
        <v>44</v>
      </c>
      <c r="E94" t="s">
        <v>755</v>
      </c>
      <c r="F94" t="str">
        <f t="shared" si="5"/>
        <v>0201445555555555</v>
      </c>
      <c r="G94" t="s">
        <v>982</v>
      </c>
      <c r="H94" t="s">
        <v>440</v>
      </c>
      <c r="I94" t="str">
        <f t="shared" si="6"/>
        <v>S1_PID_44_FuelAirCmdEquiv</v>
      </c>
      <c r="J94" t="s">
        <v>103</v>
      </c>
      <c r="K94" t="s">
        <v>441</v>
      </c>
      <c r="L94">
        <v>31</v>
      </c>
      <c r="M94">
        <v>16</v>
      </c>
      <c r="N94">
        <v>3.0517578130000002E-5</v>
      </c>
      <c r="O94">
        <v>0</v>
      </c>
      <c r="P94">
        <v>0</v>
      </c>
      <c r="Q94">
        <v>2</v>
      </c>
      <c r="R94" t="s">
        <v>68</v>
      </c>
      <c r="S94" t="s">
        <v>355</v>
      </c>
      <c r="T94" t="s">
        <v>356</v>
      </c>
      <c r="U94" t="s">
        <v>243</v>
      </c>
      <c r="V94" t="str">
        <f t="shared" si="7"/>
        <v>ratio</v>
      </c>
    </row>
    <row r="95" spans="1:22" x14ac:dyDescent="0.25">
      <c r="A95" t="s">
        <v>720</v>
      </c>
      <c r="B95">
        <v>69</v>
      </c>
      <c r="C95">
        <v>45</v>
      </c>
      <c r="D95" t="str">
        <f t="shared" si="4"/>
        <v>45</v>
      </c>
      <c r="E95" t="s">
        <v>756</v>
      </c>
      <c r="F95" t="str">
        <f t="shared" si="5"/>
        <v>0201455555555555</v>
      </c>
      <c r="G95" t="s">
        <v>983</v>
      </c>
      <c r="H95" t="s">
        <v>442</v>
      </c>
      <c r="I95" t="str">
        <f t="shared" si="6"/>
        <v>S1_PID_45_RelThrottlePos</v>
      </c>
      <c r="J95" t="s">
        <v>104</v>
      </c>
      <c r="K95" t="s">
        <v>443</v>
      </c>
      <c r="L95">
        <v>31</v>
      </c>
      <c r="M95">
        <v>8</v>
      </c>
      <c r="N95">
        <v>0.3921568627</v>
      </c>
      <c r="O95">
        <v>0</v>
      </c>
      <c r="P95">
        <v>0</v>
      </c>
      <c r="Q95">
        <v>100</v>
      </c>
      <c r="R95" t="s">
        <v>29</v>
      </c>
      <c r="S95" t="s">
        <v>248</v>
      </c>
      <c r="T95" t="s">
        <v>249</v>
      </c>
      <c r="U95" t="s">
        <v>250</v>
      </c>
      <c r="V95" t="str">
        <f t="shared" si="7"/>
        <v>%</v>
      </c>
    </row>
    <row r="96" spans="1:22" x14ac:dyDescent="0.25">
      <c r="A96" t="s">
        <v>720</v>
      </c>
      <c r="B96">
        <v>70</v>
      </c>
      <c r="C96">
        <v>46</v>
      </c>
      <c r="D96" t="str">
        <f t="shared" si="4"/>
        <v>46</v>
      </c>
      <c r="E96" t="s">
        <v>757</v>
      </c>
      <c r="F96" t="str">
        <f t="shared" si="5"/>
        <v>0201465555555555</v>
      </c>
      <c r="G96" t="s">
        <v>984</v>
      </c>
      <c r="H96" t="s">
        <v>444</v>
      </c>
      <c r="I96" t="str">
        <f t="shared" si="6"/>
        <v>S1_PID_46_AmbientAirTemp</v>
      </c>
      <c r="J96" t="s">
        <v>105</v>
      </c>
      <c r="K96" t="s">
        <v>445</v>
      </c>
      <c r="L96">
        <v>31</v>
      </c>
      <c r="M96">
        <v>8</v>
      </c>
      <c r="N96">
        <v>1</v>
      </c>
      <c r="O96">
        <v>-40</v>
      </c>
      <c r="P96">
        <v>-40</v>
      </c>
      <c r="Q96">
        <v>215</v>
      </c>
      <c r="R96" t="s">
        <v>31</v>
      </c>
      <c r="S96">
        <v>1</v>
      </c>
      <c r="T96" t="s">
        <v>253</v>
      </c>
      <c r="U96" t="s">
        <v>250</v>
      </c>
      <c r="V96" t="str">
        <f t="shared" si="7"/>
        <v>degC</v>
      </c>
    </row>
    <row r="97" spans="1:22" x14ac:dyDescent="0.25">
      <c r="A97" t="s">
        <v>720</v>
      </c>
      <c r="B97">
        <v>71</v>
      </c>
      <c r="C97">
        <v>47</v>
      </c>
      <c r="D97" t="str">
        <f t="shared" si="4"/>
        <v>47</v>
      </c>
      <c r="E97" t="s">
        <v>758</v>
      </c>
      <c r="F97" t="str">
        <f t="shared" si="5"/>
        <v>0201475555555555</v>
      </c>
      <c r="G97" t="s">
        <v>985</v>
      </c>
      <c r="H97" t="s">
        <v>446</v>
      </c>
      <c r="I97" t="str">
        <f t="shared" si="6"/>
        <v>S1_PID_47_AbsThrottlePosB</v>
      </c>
      <c r="J97" t="s">
        <v>106</v>
      </c>
      <c r="K97" t="s">
        <v>447</v>
      </c>
      <c r="L97">
        <v>31</v>
      </c>
      <c r="M97">
        <v>8</v>
      </c>
      <c r="N97">
        <v>0.3921568627</v>
      </c>
      <c r="O97">
        <v>0</v>
      </c>
      <c r="P97">
        <v>0</v>
      </c>
      <c r="Q97">
        <v>100</v>
      </c>
      <c r="R97" t="s">
        <v>29</v>
      </c>
      <c r="S97" t="s">
        <v>248</v>
      </c>
      <c r="T97" t="s">
        <v>249</v>
      </c>
      <c r="U97" t="s">
        <v>250</v>
      </c>
      <c r="V97" t="str">
        <f t="shared" si="7"/>
        <v>%</v>
      </c>
    </row>
    <row r="98" spans="1:22" x14ac:dyDescent="0.25">
      <c r="A98" t="s">
        <v>720</v>
      </c>
      <c r="B98">
        <v>72</v>
      </c>
      <c r="C98">
        <v>48</v>
      </c>
      <c r="D98" t="str">
        <f t="shared" si="4"/>
        <v>48</v>
      </c>
      <c r="E98" t="s">
        <v>759</v>
      </c>
      <c r="F98" t="str">
        <f t="shared" si="5"/>
        <v>0201485555555555</v>
      </c>
      <c r="G98" t="s">
        <v>986</v>
      </c>
      <c r="H98" t="s">
        <v>448</v>
      </c>
      <c r="I98" t="str">
        <f t="shared" si="6"/>
        <v>S1_PID_48_AbsThrottlePosC</v>
      </c>
      <c r="J98" t="s">
        <v>107</v>
      </c>
      <c r="K98" t="s">
        <v>449</v>
      </c>
      <c r="L98">
        <v>31</v>
      </c>
      <c r="M98">
        <v>8</v>
      </c>
      <c r="N98">
        <v>0.3921568627</v>
      </c>
      <c r="O98">
        <v>0</v>
      </c>
      <c r="P98">
        <v>0</v>
      </c>
      <c r="Q98">
        <v>100</v>
      </c>
      <c r="R98" t="s">
        <v>29</v>
      </c>
      <c r="S98" t="s">
        <v>248</v>
      </c>
      <c r="T98" t="s">
        <v>249</v>
      </c>
      <c r="U98" t="s">
        <v>250</v>
      </c>
      <c r="V98" t="str">
        <f t="shared" si="7"/>
        <v>%</v>
      </c>
    </row>
    <row r="99" spans="1:22" x14ac:dyDescent="0.25">
      <c r="A99" t="s">
        <v>720</v>
      </c>
      <c r="B99">
        <v>73</v>
      </c>
      <c r="C99">
        <v>49</v>
      </c>
      <c r="D99" t="str">
        <f t="shared" si="4"/>
        <v>49</v>
      </c>
      <c r="E99" t="s">
        <v>760</v>
      </c>
      <c r="F99" t="str">
        <f t="shared" si="5"/>
        <v>0201495555555555</v>
      </c>
      <c r="G99" t="s">
        <v>987</v>
      </c>
      <c r="H99" t="s">
        <v>450</v>
      </c>
      <c r="I99" t="str">
        <f t="shared" si="6"/>
        <v>S1_PID_49_AbsThrottlePosD</v>
      </c>
      <c r="J99" t="s">
        <v>108</v>
      </c>
      <c r="K99" t="s">
        <v>451</v>
      </c>
      <c r="L99">
        <v>31</v>
      </c>
      <c r="M99">
        <v>8</v>
      </c>
      <c r="N99">
        <v>0.3921568627</v>
      </c>
      <c r="O99">
        <v>0</v>
      </c>
      <c r="P99">
        <v>0</v>
      </c>
      <c r="Q99">
        <v>100</v>
      </c>
      <c r="R99" t="s">
        <v>29</v>
      </c>
      <c r="S99" t="s">
        <v>248</v>
      </c>
      <c r="T99" t="s">
        <v>249</v>
      </c>
      <c r="U99" t="s">
        <v>250</v>
      </c>
      <c r="V99" t="str">
        <f t="shared" si="7"/>
        <v>%</v>
      </c>
    </row>
    <row r="100" spans="1:22" x14ac:dyDescent="0.25">
      <c r="A100" t="s">
        <v>720</v>
      </c>
      <c r="B100">
        <v>74</v>
      </c>
      <c r="C100" t="s">
        <v>452</v>
      </c>
      <c r="D100" t="str">
        <f t="shared" si="4"/>
        <v>4A</v>
      </c>
      <c r="E100" t="s">
        <v>452</v>
      </c>
      <c r="F100" t="str">
        <f t="shared" si="5"/>
        <v>02014A5555555555</v>
      </c>
      <c r="G100" t="s">
        <v>988</v>
      </c>
      <c r="H100" t="s">
        <v>453</v>
      </c>
      <c r="I100" t="str">
        <f t="shared" si="6"/>
        <v>S1_PID_4A_AbsThrottlePosE</v>
      </c>
      <c r="J100" t="s">
        <v>109</v>
      </c>
      <c r="K100" t="s">
        <v>454</v>
      </c>
      <c r="L100">
        <v>31</v>
      </c>
      <c r="M100">
        <v>8</v>
      </c>
      <c r="N100">
        <v>0.3921568627</v>
      </c>
      <c r="O100">
        <v>0</v>
      </c>
      <c r="P100">
        <v>0</v>
      </c>
      <c r="Q100">
        <v>100</v>
      </c>
      <c r="R100" t="s">
        <v>29</v>
      </c>
      <c r="S100" t="s">
        <v>248</v>
      </c>
      <c r="T100" t="s">
        <v>249</v>
      </c>
      <c r="U100" t="s">
        <v>250</v>
      </c>
      <c r="V100" t="str">
        <f t="shared" si="7"/>
        <v>%</v>
      </c>
    </row>
    <row r="101" spans="1:22" x14ac:dyDescent="0.25">
      <c r="A101" t="s">
        <v>720</v>
      </c>
      <c r="B101">
        <v>75</v>
      </c>
      <c r="C101" t="s">
        <v>455</v>
      </c>
      <c r="D101" t="str">
        <f t="shared" si="4"/>
        <v>4B</v>
      </c>
      <c r="E101" t="s">
        <v>455</v>
      </c>
      <c r="F101" t="str">
        <f t="shared" si="5"/>
        <v>02014B5555555555</v>
      </c>
      <c r="G101" t="s">
        <v>989</v>
      </c>
      <c r="H101" t="s">
        <v>456</v>
      </c>
      <c r="I101" t="str">
        <f t="shared" si="6"/>
        <v>S1_PID_4B_AbsThrottlePosF</v>
      </c>
      <c r="J101" t="s">
        <v>110</v>
      </c>
      <c r="K101" t="s">
        <v>457</v>
      </c>
      <c r="L101">
        <v>31</v>
      </c>
      <c r="M101">
        <v>8</v>
      </c>
      <c r="N101">
        <v>0.3921568627</v>
      </c>
      <c r="O101">
        <v>0</v>
      </c>
      <c r="P101">
        <v>0</v>
      </c>
      <c r="Q101">
        <v>100</v>
      </c>
      <c r="R101" t="s">
        <v>29</v>
      </c>
      <c r="S101" t="s">
        <v>248</v>
      </c>
      <c r="T101" t="s">
        <v>249</v>
      </c>
      <c r="U101" t="s">
        <v>250</v>
      </c>
      <c r="V101" t="str">
        <f t="shared" si="7"/>
        <v>%</v>
      </c>
    </row>
    <row r="102" spans="1:22" x14ac:dyDescent="0.25">
      <c r="A102" t="s">
        <v>720</v>
      </c>
      <c r="B102">
        <v>76</v>
      </c>
      <c r="C102" t="s">
        <v>458</v>
      </c>
      <c r="D102" t="str">
        <f t="shared" si="4"/>
        <v>4C</v>
      </c>
      <c r="E102" t="s">
        <v>458</v>
      </c>
      <c r="F102" t="str">
        <f t="shared" si="5"/>
        <v>02014C5555555555</v>
      </c>
      <c r="G102" t="s">
        <v>990</v>
      </c>
      <c r="H102" t="s">
        <v>459</v>
      </c>
      <c r="I102" t="str">
        <f t="shared" si="6"/>
        <v>S1_PID_4C_CmdThrottleAct</v>
      </c>
      <c r="J102" t="s">
        <v>111</v>
      </c>
      <c r="K102" t="s">
        <v>460</v>
      </c>
      <c r="L102">
        <v>31</v>
      </c>
      <c r="M102">
        <v>8</v>
      </c>
      <c r="N102">
        <v>0.3921568627</v>
      </c>
      <c r="O102">
        <v>0</v>
      </c>
      <c r="P102">
        <v>0</v>
      </c>
      <c r="Q102">
        <v>100</v>
      </c>
      <c r="R102" t="s">
        <v>29</v>
      </c>
      <c r="S102" t="s">
        <v>248</v>
      </c>
      <c r="T102" t="s">
        <v>249</v>
      </c>
      <c r="U102" t="s">
        <v>250</v>
      </c>
      <c r="V102" t="str">
        <f t="shared" si="7"/>
        <v>%</v>
      </c>
    </row>
    <row r="103" spans="1:22" x14ac:dyDescent="0.25">
      <c r="A103" t="s">
        <v>720</v>
      </c>
      <c r="B103">
        <v>77</v>
      </c>
      <c r="C103" t="s">
        <v>461</v>
      </c>
      <c r="D103" t="str">
        <f t="shared" si="4"/>
        <v>4D</v>
      </c>
      <c r="E103" t="s">
        <v>461</v>
      </c>
      <c r="F103" t="str">
        <f t="shared" si="5"/>
        <v>02014D5555555555</v>
      </c>
      <c r="G103" t="s">
        <v>991</v>
      </c>
      <c r="H103" t="s">
        <v>462</v>
      </c>
      <c r="I103" t="str">
        <f t="shared" si="6"/>
        <v>S1_PID_4D_TimeRunMILOn</v>
      </c>
      <c r="J103" t="s">
        <v>112</v>
      </c>
      <c r="K103" t="s">
        <v>463</v>
      </c>
      <c r="L103">
        <v>31</v>
      </c>
      <c r="M103">
        <v>16</v>
      </c>
      <c r="N103">
        <v>1</v>
      </c>
      <c r="O103">
        <v>0</v>
      </c>
      <c r="P103">
        <v>0</v>
      </c>
      <c r="Q103">
        <v>65535</v>
      </c>
      <c r="R103" t="s">
        <v>113</v>
      </c>
      <c r="S103">
        <v>1</v>
      </c>
      <c r="T103" t="s">
        <v>342</v>
      </c>
      <c r="U103" t="s">
        <v>243</v>
      </c>
      <c r="V103" t="str">
        <f t="shared" si="7"/>
        <v>minutes</v>
      </c>
    </row>
    <row r="104" spans="1:22" x14ac:dyDescent="0.25">
      <c r="A104" t="s">
        <v>720</v>
      </c>
      <c r="B104">
        <v>78</v>
      </c>
      <c r="C104" t="s">
        <v>464</v>
      </c>
      <c r="D104" t="str">
        <f t="shared" si="4"/>
        <v>4E</v>
      </c>
      <c r="E104" t="s">
        <v>464</v>
      </c>
      <c r="F104" t="str">
        <f t="shared" si="5"/>
        <v>02014E5555555555</v>
      </c>
      <c r="G104" t="s">
        <v>992</v>
      </c>
      <c r="H104" t="s">
        <v>465</v>
      </c>
      <c r="I104" t="str">
        <f t="shared" si="6"/>
        <v>S1_PID_4E_TimeSinceCodeClear</v>
      </c>
      <c r="J104" t="s">
        <v>114</v>
      </c>
      <c r="K104" t="s">
        <v>466</v>
      </c>
      <c r="L104">
        <v>31</v>
      </c>
      <c r="M104">
        <v>16</v>
      </c>
      <c r="N104">
        <v>1</v>
      </c>
      <c r="O104">
        <v>0</v>
      </c>
      <c r="P104">
        <v>0</v>
      </c>
      <c r="Q104">
        <v>65535</v>
      </c>
      <c r="R104" t="s">
        <v>113</v>
      </c>
      <c r="S104">
        <v>1</v>
      </c>
      <c r="T104" t="s">
        <v>342</v>
      </c>
      <c r="U104" t="s">
        <v>243</v>
      </c>
      <c r="V104" t="str">
        <f t="shared" si="7"/>
        <v>minutes</v>
      </c>
    </row>
    <row r="105" spans="1:22" x14ac:dyDescent="0.25">
      <c r="A105" t="s">
        <v>720</v>
      </c>
      <c r="B105">
        <v>79</v>
      </c>
      <c r="C105" t="s">
        <v>467</v>
      </c>
      <c r="D105" t="str">
        <f t="shared" si="4"/>
        <v>4F</v>
      </c>
      <c r="E105" t="s">
        <v>467</v>
      </c>
      <c r="F105" t="str">
        <f t="shared" si="5"/>
        <v>02014F5555555555</v>
      </c>
      <c r="G105" t="s">
        <v>993</v>
      </c>
      <c r="H105" t="s">
        <v>468</v>
      </c>
      <c r="I105" t="str">
        <f t="shared" si="6"/>
        <v>S1_PID_4F_Max_FAER</v>
      </c>
      <c r="J105" t="s">
        <v>115</v>
      </c>
      <c r="K105" t="s">
        <v>469</v>
      </c>
      <c r="L105">
        <v>31</v>
      </c>
      <c r="M105">
        <v>8</v>
      </c>
      <c r="N105">
        <v>1</v>
      </c>
      <c r="O105">
        <v>0</v>
      </c>
      <c r="P105">
        <v>0</v>
      </c>
      <c r="Q105">
        <v>255</v>
      </c>
      <c r="R105" t="s">
        <v>68</v>
      </c>
      <c r="S105">
        <v>1</v>
      </c>
      <c r="T105" t="s">
        <v>270</v>
      </c>
      <c r="U105" t="s">
        <v>250</v>
      </c>
      <c r="V105" t="str">
        <f t="shared" si="7"/>
        <v>ratio</v>
      </c>
    </row>
    <row r="106" spans="1:22" x14ac:dyDescent="0.25">
      <c r="A106" t="s">
        <v>720</v>
      </c>
      <c r="B106">
        <v>80</v>
      </c>
      <c r="C106" t="s">
        <v>467</v>
      </c>
      <c r="D106" t="str">
        <f t="shared" si="4"/>
        <v>50</v>
      </c>
      <c r="E106" t="s">
        <v>761</v>
      </c>
      <c r="F106" t="str">
        <f t="shared" si="5"/>
        <v>0201505555555555</v>
      </c>
      <c r="G106" t="s">
        <v>994</v>
      </c>
      <c r="H106" t="s">
        <v>470</v>
      </c>
      <c r="I106" t="str">
        <f t="shared" si="6"/>
        <v>S1_PID_50_Max_OxySensVol</v>
      </c>
      <c r="J106" t="s">
        <v>853</v>
      </c>
      <c r="K106" t="s">
        <v>471</v>
      </c>
      <c r="L106">
        <v>39</v>
      </c>
      <c r="M106">
        <v>8</v>
      </c>
      <c r="N106">
        <v>1</v>
      </c>
      <c r="O106">
        <v>0</v>
      </c>
      <c r="P106">
        <v>0</v>
      </c>
      <c r="Q106">
        <v>255</v>
      </c>
      <c r="R106" t="s">
        <v>101</v>
      </c>
      <c r="S106">
        <v>1</v>
      </c>
      <c r="T106" t="s">
        <v>270</v>
      </c>
      <c r="U106" t="s">
        <v>299</v>
      </c>
      <c r="V106" t="str">
        <f t="shared" si="7"/>
        <v>V</v>
      </c>
    </row>
    <row r="107" spans="1:22" x14ac:dyDescent="0.25">
      <c r="A107" t="s">
        <v>720</v>
      </c>
      <c r="B107">
        <v>81</v>
      </c>
      <c r="C107" t="s">
        <v>467</v>
      </c>
      <c r="D107" t="str">
        <f t="shared" si="4"/>
        <v>51</v>
      </c>
      <c r="E107" t="s">
        <v>762</v>
      </c>
      <c r="F107" t="str">
        <f t="shared" si="5"/>
        <v>0201515555555555</v>
      </c>
      <c r="G107" t="s">
        <v>995</v>
      </c>
      <c r="H107" t="s">
        <v>472</v>
      </c>
      <c r="I107" t="str">
        <f t="shared" si="6"/>
        <v>S1_PID_51_Max_OxySensCrnt</v>
      </c>
      <c r="J107" t="s">
        <v>854</v>
      </c>
      <c r="K107" t="s">
        <v>473</v>
      </c>
      <c r="L107">
        <v>47</v>
      </c>
      <c r="M107">
        <v>8</v>
      </c>
      <c r="N107">
        <v>1</v>
      </c>
      <c r="O107">
        <v>0</v>
      </c>
      <c r="P107">
        <v>0</v>
      </c>
      <c r="Q107">
        <v>255</v>
      </c>
      <c r="R107" t="s">
        <v>181</v>
      </c>
      <c r="S107">
        <v>1</v>
      </c>
      <c r="T107" t="s">
        <v>270</v>
      </c>
      <c r="U107" t="s">
        <v>474</v>
      </c>
      <c r="V107" t="str">
        <f t="shared" si="7"/>
        <v>mA</v>
      </c>
    </row>
    <row r="108" spans="1:22" x14ac:dyDescent="0.25">
      <c r="A108" t="s">
        <v>720</v>
      </c>
      <c r="B108">
        <v>82</v>
      </c>
      <c r="C108" t="s">
        <v>467</v>
      </c>
      <c r="D108" t="str">
        <f t="shared" si="4"/>
        <v>52</v>
      </c>
      <c r="E108" t="s">
        <v>763</v>
      </c>
      <c r="F108" t="str">
        <f t="shared" si="5"/>
        <v>0201525555555555</v>
      </c>
      <c r="G108" t="s">
        <v>996</v>
      </c>
      <c r="H108" t="s">
        <v>475</v>
      </c>
      <c r="I108" t="str">
        <f t="shared" si="6"/>
        <v>S1_PID_52_Max_IntManiAbsPres</v>
      </c>
      <c r="J108" t="s">
        <v>855</v>
      </c>
      <c r="K108" t="s">
        <v>476</v>
      </c>
      <c r="L108">
        <v>55</v>
      </c>
      <c r="M108">
        <v>8</v>
      </c>
      <c r="N108">
        <v>10</v>
      </c>
      <c r="O108">
        <v>0</v>
      </c>
      <c r="P108">
        <v>0</v>
      </c>
      <c r="Q108">
        <v>2550</v>
      </c>
      <c r="R108" t="s">
        <v>37</v>
      </c>
      <c r="S108">
        <v>10</v>
      </c>
      <c r="T108" t="s">
        <v>477</v>
      </c>
      <c r="U108" t="s">
        <v>478</v>
      </c>
      <c r="V108" t="str">
        <f t="shared" si="7"/>
        <v>kPa</v>
      </c>
    </row>
    <row r="109" spans="1:22" x14ac:dyDescent="0.25">
      <c r="A109" t="s">
        <v>720</v>
      </c>
      <c r="B109">
        <v>80</v>
      </c>
      <c r="C109">
        <v>50</v>
      </c>
      <c r="D109" t="str">
        <f t="shared" si="4"/>
        <v>50</v>
      </c>
      <c r="E109" t="s">
        <v>761</v>
      </c>
      <c r="F109" t="str">
        <f t="shared" si="5"/>
        <v>0201505555555555</v>
      </c>
      <c r="G109" t="s">
        <v>994</v>
      </c>
      <c r="H109" t="s">
        <v>479</v>
      </c>
      <c r="I109" t="str">
        <f t="shared" si="6"/>
        <v>S1_PID_50_Max_AirFlowMAF</v>
      </c>
      <c r="J109" t="s">
        <v>116</v>
      </c>
      <c r="K109" t="s">
        <v>480</v>
      </c>
      <c r="L109">
        <v>31</v>
      </c>
      <c r="M109">
        <v>8</v>
      </c>
      <c r="N109">
        <v>10</v>
      </c>
      <c r="O109">
        <v>0</v>
      </c>
      <c r="P109">
        <v>0</v>
      </c>
      <c r="Q109">
        <v>2550</v>
      </c>
      <c r="R109" t="s">
        <v>117</v>
      </c>
      <c r="S109">
        <v>10</v>
      </c>
      <c r="T109" t="s">
        <v>477</v>
      </c>
      <c r="U109" t="s">
        <v>250</v>
      </c>
      <c r="V109" t="str">
        <f t="shared" si="7"/>
        <v>g/s</v>
      </c>
    </row>
    <row r="110" spans="1:22" x14ac:dyDescent="0.25">
      <c r="A110" t="s">
        <v>720</v>
      </c>
      <c r="B110">
        <v>81</v>
      </c>
      <c r="C110">
        <v>51</v>
      </c>
      <c r="D110" t="str">
        <f t="shared" si="4"/>
        <v>51</v>
      </c>
      <c r="E110" t="s">
        <v>762</v>
      </c>
      <c r="F110" t="str">
        <f t="shared" si="5"/>
        <v>0201515555555555</v>
      </c>
      <c r="G110" t="s">
        <v>995</v>
      </c>
      <c r="H110" t="s">
        <v>481</v>
      </c>
      <c r="I110" t="str">
        <f t="shared" si="6"/>
        <v>S1_PID_51_FuelType</v>
      </c>
      <c r="J110" t="s">
        <v>118</v>
      </c>
      <c r="K110" t="s">
        <v>482</v>
      </c>
      <c r="L110">
        <v>31</v>
      </c>
      <c r="M110">
        <v>8</v>
      </c>
      <c r="N110">
        <v>1</v>
      </c>
      <c r="O110">
        <v>0</v>
      </c>
      <c r="R110" t="s">
        <v>237</v>
      </c>
      <c r="S110">
        <v>1</v>
      </c>
      <c r="U110" t="s">
        <v>250</v>
      </c>
      <c r="V110" t="str">
        <f t="shared" si="7"/>
        <v>Encoded</v>
      </c>
    </row>
    <row r="111" spans="1:22" x14ac:dyDescent="0.25">
      <c r="A111" t="s">
        <v>720</v>
      </c>
      <c r="B111">
        <v>82</v>
      </c>
      <c r="C111">
        <v>52</v>
      </c>
      <c r="D111" t="str">
        <f t="shared" si="4"/>
        <v>52</v>
      </c>
      <c r="E111" t="s">
        <v>763</v>
      </c>
      <c r="F111" t="str">
        <f t="shared" si="5"/>
        <v>0201525555555555</v>
      </c>
      <c r="G111" t="s">
        <v>996</v>
      </c>
      <c r="H111" t="s">
        <v>483</v>
      </c>
      <c r="I111" t="str">
        <f t="shared" si="6"/>
        <v>S1_PID_52_EthanolFuelPct</v>
      </c>
      <c r="J111" t="s">
        <v>119</v>
      </c>
      <c r="K111" t="s">
        <v>484</v>
      </c>
      <c r="L111">
        <v>31</v>
      </c>
      <c r="M111">
        <v>8</v>
      </c>
      <c r="N111">
        <v>0.3921568627</v>
      </c>
      <c r="O111">
        <v>0</v>
      </c>
      <c r="P111">
        <v>0</v>
      </c>
      <c r="Q111">
        <v>100</v>
      </c>
      <c r="R111" t="s">
        <v>29</v>
      </c>
      <c r="S111" t="s">
        <v>248</v>
      </c>
      <c r="T111" t="s">
        <v>249</v>
      </c>
      <c r="U111" t="s">
        <v>250</v>
      </c>
      <c r="V111" t="str">
        <f t="shared" si="7"/>
        <v>%</v>
      </c>
    </row>
    <row r="112" spans="1:22" x14ac:dyDescent="0.25">
      <c r="A112" t="s">
        <v>720</v>
      </c>
      <c r="B112">
        <v>83</v>
      </c>
      <c r="C112">
        <v>53</v>
      </c>
      <c r="D112" t="str">
        <f t="shared" si="4"/>
        <v>53</v>
      </c>
      <c r="E112" t="s">
        <v>764</v>
      </c>
      <c r="F112" t="str">
        <f t="shared" si="5"/>
        <v>0201535555555555</v>
      </c>
      <c r="G112" t="s">
        <v>997</v>
      </c>
      <c r="H112" t="s">
        <v>485</v>
      </c>
      <c r="I112" t="str">
        <f t="shared" si="6"/>
        <v>S1_PID_53_AbsEvapSysVapPres</v>
      </c>
      <c r="J112" t="s">
        <v>120</v>
      </c>
      <c r="K112" t="s">
        <v>486</v>
      </c>
      <c r="L112">
        <v>31</v>
      </c>
      <c r="M112">
        <v>16</v>
      </c>
      <c r="N112">
        <v>5.0000000000000001E-3</v>
      </c>
      <c r="O112">
        <v>0</v>
      </c>
      <c r="P112">
        <v>0</v>
      </c>
      <c r="Q112">
        <v>328</v>
      </c>
      <c r="R112" t="s">
        <v>37</v>
      </c>
      <c r="S112">
        <v>5.0000000000000001E-3</v>
      </c>
      <c r="T112" t="s">
        <v>487</v>
      </c>
      <c r="U112" t="s">
        <v>243</v>
      </c>
      <c r="V112" t="str">
        <f t="shared" si="7"/>
        <v>kPa</v>
      </c>
    </row>
    <row r="113" spans="1:22" x14ac:dyDescent="0.25">
      <c r="A113" t="s">
        <v>720</v>
      </c>
      <c r="B113">
        <v>84</v>
      </c>
      <c r="C113">
        <v>54</v>
      </c>
      <c r="D113" t="str">
        <f t="shared" si="4"/>
        <v>54</v>
      </c>
      <c r="E113" t="s">
        <v>765</v>
      </c>
      <c r="F113" t="str">
        <f t="shared" si="5"/>
        <v>0201545555555555</v>
      </c>
      <c r="G113" t="s">
        <v>998</v>
      </c>
      <c r="H113" t="s">
        <v>488</v>
      </c>
      <c r="I113" t="str">
        <f t="shared" si="6"/>
        <v>S1_PID_54_EvapSysVapPres</v>
      </c>
      <c r="J113" t="s">
        <v>121</v>
      </c>
      <c r="K113" t="s">
        <v>489</v>
      </c>
      <c r="L113">
        <v>31</v>
      </c>
      <c r="M113">
        <v>16</v>
      </c>
      <c r="N113">
        <v>1</v>
      </c>
      <c r="O113">
        <v>-32767</v>
      </c>
      <c r="P113">
        <v>-32767</v>
      </c>
      <c r="Q113">
        <v>32768</v>
      </c>
      <c r="R113" t="s">
        <v>84</v>
      </c>
      <c r="S113">
        <v>1</v>
      </c>
      <c r="T113" t="s">
        <v>490</v>
      </c>
      <c r="U113" t="s">
        <v>243</v>
      </c>
      <c r="V113" t="str">
        <f t="shared" si="7"/>
        <v>Pa</v>
      </c>
    </row>
    <row r="114" spans="1:22" x14ac:dyDescent="0.25">
      <c r="A114" t="s">
        <v>720</v>
      </c>
      <c r="B114">
        <v>85</v>
      </c>
      <c r="C114">
        <v>55</v>
      </c>
      <c r="D114" t="str">
        <f t="shared" si="4"/>
        <v>55</v>
      </c>
      <c r="E114" t="s">
        <v>766</v>
      </c>
      <c r="F114" t="str">
        <f t="shared" si="5"/>
        <v>0201555555555555</v>
      </c>
      <c r="G114" t="s">
        <v>999</v>
      </c>
      <c r="H114" t="s">
        <v>491</v>
      </c>
      <c r="I114" t="str">
        <f t="shared" si="6"/>
        <v>S1_PID_55_ShortSecOxyTrimBank1</v>
      </c>
      <c r="J114" t="s">
        <v>122</v>
      </c>
      <c r="K114" t="s">
        <v>492</v>
      </c>
      <c r="L114">
        <v>31</v>
      </c>
      <c r="M114">
        <v>8</v>
      </c>
      <c r="N114">
        <v>0.78125</v>
      </c>
      <c r="O114">
        <v>-100</v>
      </c>
      <c r="P114">
        <v>-100</v>
      </c>
      <c r="Q114">
        <v>99</v>
      </c>
      <c r="R114" t="s">
        <v>29</v>
      </c>
      <c r="S114" t="s">
        <v>256</v>
      </c>
      <c r="T114" t="s">
        <v>257</v>
      </c>
      <c r="U114" t="s">
        <v>250</v>
      </c>
      <c r="V114" t="str">
        <f t="shared" si="7"/>
        <v>%</v>
      </c>
    </row>
    <row r="115" spans="1:22" x14ac:dyDescent="0.25">
      <c r="A115" t="s">
        <v>720</v>
      </c>
      <c r="B115">
        <v>85</v>
      </c>
      <c r="C115">
        <v>55</v>
      </c>
      <c r="D115" t="str">
        <f t="shared" si="4"/>
        <v>55</v>
      </c>
      <c r="E115" t="s">
        <v>766</v>
      </c>
      <c r="F115" t="str">
        <f t="shared" si="5"/>
        <v>0201555555555555</v>
      </c>
      <c r="G115" t="s">
        <v>999</v>
      </c>
      <c r="H115" t="s">
        <v>493</v>
      </c>
      <c r="I115" t="str">
        <f t="shared" si="6"/>
        <v>S1_PID_55_ShortSecOxyTrimBank3</v>
      </c>
      <c r="J115" t="s">
        <v>167</v>
      </c>
      <c r="K115" t="s">
        <v>494</v>
      </c>
      <c r="L115">
        <v>39</v>
      </c>
      <c r="M115">
        <v>8</v>
      </c>
      <c r="N115">
        <v>0.78125</v>
      </c>
      <c r="O115">
        <v>-100</v>
      </c>
      <c r="P115">
        <v>-100</v>
      </c>
      <c r="Q115">
        <v>99</v>
      </c>
      <c r="R115" t="s">
        <v>29</v>
      </c>
      <c r="S115" t="s">
        <v>256</v>
      </c>
      <c r="T115" t="s">
        <v>257</v>
      </c>
      <c r="U115" t="s">
        <v>299</v>
      </c>
      <c r="V115" t="str">
        <f t="shared" si="7"/>
        <v>%</v>
      </c>
    </row>
    <row r="116" spans="1:22" x14ac:dyDescent="0.25">
      <c r="A116" t="s">
        <v>720</v>
      </c>
      <c r="B116">
        <v>86</v>
      </c>
      <c r="C116">
        <v>56</v>
      </c>
      <c r="D116" t="str">
        <f t="shared" si="4"/>
        <v>56</v>
      </c>
      <c r="E116" t="s">
        <v>767</v>
      </c>
      <c r="F116" t="str">
        <f t="shared" si="5"/>
        <v>0201565555555555</v>
      </c>
      <c r="G116" t="s">
        <v>1000</v>
      </c>
      <c r="H116" t="s">
        <v>495</v>
      </c>
      <c r="I116" t="str">
        <f t="shared" si="6"/>
        <v>S1_PID_56_LongSecOxyTrimBank1</v>
      </c>
      <c r="J116" t="s">
        <v>123</v>
      </c>
      <c r="K116" t="s">
        <v>496</v>
      </c>
      <c r="L116">
        <v>31</v>
      </c>
      <c r="M116">
        <v>8</v>
      </c>
      <c r="N116">
        <v>0.78125</v>
      </c>
      <c r="O116">
        <v>-100</v>
      </c>
      <c r="P116">
        <v>-100</v>
      </c>
      <c r="Q116">
        <v>99</v>
      </c>
      <c r="R116" t="s">
        <v>29</v>
      </c>
      <c r="S116" t="s">
        <v>256</v>
      </c>
      <c r="T116" t="s">
        <v>257</v>
      </c>
      <c r="U116" t="s">
        <v>250</v>
      </c>
      <c r="V116" t="str">
        <f t="shared" si="7"/>
        <v>%</v>
      </c>
    </row>
    <row r="117" spans="1:22" x14ac:dyDescent="0.25">
      <c r="A117" t="s">
        <v>720</v>
      </c>
      <c r="B117">
        <v>86</v>
      </c>
      <c r="C117">
        <v>56</v>
      </c>
      <c r="D117" t="str">
        <f t="shared" si="4"/>
        <v>56</v>
      </c>
      <c r="E117" t="s">
        <v>767</v>
      </c>
      <c r="F117" t="str">
        <f t="shared" si="5"/>
        <v>0201565555555555</v>
      </c>
      <c r="G117" t="s">
        <v>1000</v>
      </c>
      <c r="H117" t="s">
        <v>497</v>
      </c>
      <c r="I117" t="str">
        <f t="shared" si="6"/>
        <v>S1_PID_56_LongSecOxyTrimBank3</v>
      </c>
      <c r="J117" t="s">
        <v>168</v>
      </c>
      <c r="K117" t="s">
        <v>498</v>
      </c>
      <c r="L117">
        <v>39</v>
      </c>
      <c r="M117">
        <v>8</v>
      </c>
      <c r="N117">
        <v>0.78125</v>
      </c>
      <c r="O117">
        <v>-100</v>
      </c>
      <c r="P117">
        <v>-100</v>
      </c>
      <c r="Q117">
        <v>99</v>
      </c>
      <c r="R117" t="s">
        <v>29</v>
      </c>
      <c r="S117" t="s">
        <v>256</v>
      </c>
      <c r="T117" t="s">
        <v>257</v>
      </c>
      <c r="U117" t="s">
        <v>299</v>
      </c>
      <c r="V117" t="str">
        <f t="shared" si="7"/>
        <v>%</v>
      </c>
    </row>
    <row r="118" spans="1:22" x14ac:dyDescent="0.25">
      <c r="A118" t="s">
        <v>720</v>
      </c>
      <c r="B118">
        <v>87</v>
      </c>
      <c r="C118">
        <v>57</v>
      </c>
      <c r="D118" t="str">
        <f t="shared" si="4"/>
        <v>57</v>
      </c>
      <c r="E118" t="s">
        <v>768</v>
      </c>
      <c r="F118" t="str">
        <f t="shared" si="5"/>
        <v>0201575555555555</v>
      </c>
      <c r="G118" t="s">
        <v>1001</v>
      </c>
      <c r="H118" t="s">
        <v>499</v>
      </c>
      <c r="I118" t="str">
        <f t="shared" si="6"/>
        <v>S1_PID_57_ShortSecOxyTrimBank2</v>
      </c>
      <c r="J118" t="s">
        <v>124</v>
      </c>
      <c r="K118" t="s">
        <v>500</v>
      </c>
      <c r="L118">
        <v>31</v>
      </c>
      <c r="M118">
        <v>8</v>
      </c>
      <c r="N118">
        <v>0.78125</v>
      </c>
      <c r="O118">
        <v>-100</v>
      </c>
      <c r="P118">
        <v>-100</v>
      </c>
      <c r="Q118">
        <v>99</v>
      </c>
      <c r="R118" t="s">
        <v>29</v>
      </c>
      <c r="S118" t="s">
        <v>256</v>
      </c>
      <c r="T118" t="s">
        <v>257</v>
      </c>
      <c r="U118" t="s">
        <v>250</v>
      </c>
      <c r="V118" t="str">
        <f t="shared" si="7"/>
        <v>%</v>
      </c>
    </row>
    <row r="119" spans="1:22" x14ac:dyDescent="0.25">
      <c r="A119" t="s">
        <v>720</v>
      </c>
      <c r="B119">
        <v>87</v>
      </c>
      <c r="C119">
        <v>57</v>
      </c>
      <c r="D119" t="str">
        <f t="shared" si="4"/>
        <v>57</v>
      </c>
      <c r="E119" t="s">
        <v>768</v>
      </c>
      <c r="F119" t="str">
        <f t="shared" si="5"/>
        <v>0201575555555555</v>
      </c>
      <c r="G119" t="s">
        <v>1001</v>
      </c>
      <c r="H119" t="s">
        <v>501</v>
      </c>
      <c r="I119" t="str">
        <f t="shared" si="6"/>
        <v>S1_PID_57_ShortSecOxyTrimBank4</v>
      </c>
      <c r="J119" t="s">
        <v>169</v>
      </c>
      <c r="K119" t="s">
        <v>502</v>
      </c>
      <c r="L119">
        <v>39</v>
      </c>
      <c r="M119">
        <v>8</v>
      </c>
      <c r="N119">
        <v>0.78125</v>
      </c>
      <c r="O119">
        <v>-100</v>
      </c>
      <c r="P119">
        <v>-100</v>
      </c>
      <c r="Q119">
        <v>99</v>
      </c>
      <c r="R119" t="s">
        <v>29</v>
      </c>
      <c r="S119" t="s">
        <v>256</v>
      </c>
      <c r="T119" t="s">
        <v>257</v>
      </c>
      <c r="U119" t="s">
        <v>299</v>
      </c>
      <c r="V119" t="str">
        <f t="shared" si="7"/>
        <v>%</v>
      </c>
    </row>
    <row r="120" spans="1:22" x14ac:dyDescent="0.25">
      <c r="A120" t="s">
        <v>720</v>
      </c>
      <c r="B120">
        <v>88</v>
      </c>
      <c r="C120">
        <v>58</v>
      </c>
      <c r="D120" t="str">
        <f t="shared" si="4"/>
        <v>58</v>
      </c>
      <c r="E120" t="s">
        <v>769</v>
      </c>
      <c r="F120" t="str">
        <f t="shared" si="5"/>
        <v>0201585555555555</v>
      </c>
      <c r="G120" t="s">
        <v>1002</v>
      </c>
      <c r="H120" t="s">
        <v>503</v>
      </c>
      <c r="I120" t="str">
        <f t="shared" si="6"/>
        <v>S1_PID_58_LongSecOxyTrimBank2</v>
      </c>
      <c r="J120" t="s">
        <v>125</v>
      </c>
      <c r="K120" t="s">
        <v>504</v>
      </c>
      <c r="L120">
        <v>31</v>
      </c>
      <c r="M120">
        <v>8</v>
      </c>
      <c r="N120">
        <v>0.78125</v>
      </c>
      <c r="O120">
        <v>-100</v>
      </c>
      <c r="P120">
        <v>-100</v>
      </c>
      <c r="Q120">
        <v>99</v>
      </c>
      <c r="R120" t="s">
        <v>29</v>
      </c>
      <c r="S120" t="s">
        <v>256</v>
      </c>
      <c r="T120" t="s">
        <v>257</v>
      </c>
      <c r="U120" t="s">
        <v>250</v>
      </c>
      <c r="V120" t="str">
        <f t="shared" si="7"/>
        <v>%</v>
      </c>
    </row>
    <row r="121" spans="1:22" x14ac:dyDescent="0.25">
      <c r="A121" t="s">
        <v>720</v>
      </c>
      <c r="B121">
        <v>88</v>
      </c>
      <c r="C121">
        <v>58</v>
      </c>
      <c r="D121" t="str">
        <f t="shared" si="4"/>
        <v>58</v>
      </c>
      <c r="E121" t="s">
        <v>769</v>
      </c>
      <c r="F121" t="str">
        <f t="shared" si="5"/>
        <v>0201585555555555</v>
      </c>
      <c r="G121" t="s">
        <v>1002</v>
      </c>
      <c r="H121" t="s">
        <v>505</v>
      </c>
      <c r="I121" t="str">
        <f t="shared" si="6"/>
        <v>S1_PID_58_LongSecOxyTrimBank4</v>
      </c>
      <c r="J121" t="s">
        <v>170</v>
      </c>
      <c r="K121" t="s">
        <v>506</v>
      </c>
      <c r="L121">
        <v>39</v>
      </c>
      <c r="M121">
        <v>8</v>
      </c>
      <c r="N121">
        <v>0.78125</v>
      </c>
      <c r="O121">
        <v>-100</v>
      </c>
      <c r="P121">
        <v>-100</v>
      </c>
      <c r="Q121">
        <v>99</v>
      </c>
      <c r="R121" t="s">
        <v>29</v>
      </c>
      <c r="S121" t="s">
        <v>256</v>
      </c>
      <c r="T121" t="s">
        <v>257</v>
      </c>
      <c r="U121" t="s">
        <v>299</v>
      </c>
      <c r="V121" t="str">
        <f t="shared" si="7"/>
        <v>%</v>
      </c>
    </row>
    <row r="122" spans="1:22" x14ac:dyDescent="0.25">
      <c r="A122" t="s">
        <v>720</v>
      </c>
      <c r="B122">
        <v>89</v>
      </c>
      <c r="C122">
        <v>59</v>
      </c>
      <c r="D122" t="str">
        <f t="shared" si="4"/>
        <v>59</v>
      </c>
      <c r="E122" t="s">
        <v>770</v>
      </c>
      <c r="F122" t="str">
        <f t="shared" si="5"/>
        <v>0201595555555555</v>
      </c>
      <c r="G122" t="s">
        <v>1003</v>
      </c>
      <c r="H122" t="s">
        <v>507</v>
      </c>
      <c r="I122" t="str">
        <f t="shared" si="6"/>
        <v>S1_PID_59_FuelRailAbsPres</v>
      </c>
      <c r="J122" t="s">
        <v>126</v>
      </c>
      <c r="K122" t="s">
        <v>508</v>
      </c>
      <c r="L122">
        <v>31</v>
      </c>
      <c r="M122">
        <v>16</v>
      </c>
      <c r="N122">
        <v>10</v>
      </c>
      <c r="O122">
        <v>0</v>
      </c>
      <c r="P122">
        <v>0</v>
      </c>
      <c r="Q122">
        <v>655350</v>
      </c>
      <c r="R122" t="s">
        <v>37</v>
      </c>
      <c r="S122">
        <v>10</v>
      </c>
      <c r="T122" t="s">
        <v>352</v>
      </c>
      <c r="U122" t="s">
        <v>243</v>
      </c>
      <c r="V122" t="str">
        <f t="shared" si="7"/>
        <v>kPa</v>
      </c>
    </row>
    <row r="123" spans="1:22" x14ac:dyDescent="0.25">
      <c r="A123" t="s">
        <v>720</v>
      </c>
      <c r="B123">
        <v>90</v>
      </c>
      <c r="C123" t="s">
        <v>509</v>
      </c>
      <c r="D123" t="str">
        <f t="shared" si="4"/>
        <v>5A</v>
      </c>
      <c r="E123" t="s">
        <v>509</v>
      </c>
      <c r="F123" t="str">
        <f t="shared" si="5"/>
        <v>02015A5555555555</v>
      </c>
      <c r="G123" t="s">
        <v>1004</v>
      </c>
      <c r="H123" t="s">
        <v>510</v>
      </c>
      <c r="I123" t="str">
        <f t="shared" si="6"/>
        <v>S1_PID_5A_RelAccelPedalPos</v>
      </c>
      <c r="J123" t="s">
        <v>127</v>
      </c>
      <c r="K123" t="s">
        <v>511</v>
      </c>
      <c r="L123">
        <v>31</v>
      </c>
      <c r="M123">
        <v>8</v>
      </c>
      <c r="N123">
        <v>0.3921568627</v>
      </c>
      <c r="O123">
        <v>0</v>
      </c>
      <c r="P123">
        <v>0</v>
      </c>
      <c r="Q123">
        <v>100</v>
      </c>
      <c r="R123" t="s">
        <v>29</v>
      </c>
      <c r="S123" t="s">
        <v>248</v>
      </c>
      <c r="T123" t="s">
        <v>249</v>
      </c>
      <c r="U123" t="s">
        <v>250</v>
      </c>
      <c r="V123" t="str">
        <f t="shared" si="7"/>
        <v>%</v>
      </c>
    </row>
    <row r="124" spans="1:22" x14ac:dyDescent="0.25">
      <c r="A124" t="s">
        <v>720</v>
      </c>
      <c r="B124">
        <v>91</v>
      </c>
      <c r="C124" t="s">
        <v>512</v>
      </c>
      <c r="D124" t="str">
        <f t="shared" si="4"/>
        <v>5B</v>
      </c>
      <c r="E124" t="s">
        <v>512</v>
      </c>
      <c r="F124" t="str">
        <f t="shared" si="5"/>
        <v>02015B5555555555</v>
      </c>
      <c r="G124" t="s">
        <v>1005</v>
      </c>
      <c r="H124" t="s">
        <v>513</v>
      </c>
      <c r="I124" t="str">
        <f t="shared" si="6"/>
        <v>S1_PID_5B_HybrBatPackRemLife</v>
      </c>
      <c r="J124" t="s">
        <v>128</v>
      </c>
      <c r="K124" t="s">
        <v>514</v>
      </c>
      <c r="L124">
        <v>31</v>
      </c>
      <c r="M124">
        <v>8</v>
      </c>
      <c r="N124">
        <v>0.3921568627</v>
      </c>
      <c r="O124">
        <v>0</v>
      </c>
      <c r="P124">
        <v>0</v>
      </c>
      <c r="Q124">
        <v>100</v>
      </c>
      <c r="R124" t="s">
        <v>29</v>
      </c>
      <c r="S124" t="s">
        <v>248</v>
      </c>
      <c r="T124" t="s">
        <v>249</v>
      </c>
      <c r="U124" t="s">
        <v>250</v>
      </c>
      <c r="V124" t="str">
        <f t="shared" si="7"/>
        <v>%</v>
      </c>
    </row>
    <row r="125" spans="1:22" x14ac:dyDescent="0.25">
      <c r="A125" t="s">
        <v>720</v>
      </c>
      <c r="B125">
        <v>92</v>
      </c>
      <c r="C125" t="s">
        <v>515</v>
      </c>
      <c r="D125" t="str">
        <f t="shared" si="4"/>
        <v>5C</v>
      </c>
      <c r="E125" t="s">
        <v>515</v>
      </c>
      <c r="F125" t="str">
        <f t="shared" si="5"/>
        <v>02015C5555555555</v>
      </c>
      <c r="G125" t="s">
        <v>1006</v>
      </c>
      <c r="H125" t="s">
        <v>516</v>
      </c>
      <c r="I125" t="str">
        <f t="shared" si="6"/>
        <v>S1_PID_5C_EngineOilTemp</v>
      </c>
      <c r="J125" t="s">
        <v>129</v>
      </c>
      <c r="K125" t="s">
        <v>517</v>
      </c>
      <c r="L125">
        <v>31</v>
      </c>
      <c r="M125">
        <v>8</v>
      </c>
      <c r="N125">
        <v>1</v>
      </c>
      <c r="O125">
        <v>-40</v>
      </c>
      <c r="P125">
        <v>-40</v>
      </c>
      <c r="Q125">
        <v>215</v>
      </c>
      <c r="R125" t="s">
        <v>31</v>
      </c>
      <c r="S125">
        <v>1</v>
      </c>
      <c r="T125" t="s">
        <v>253</v>
      </c>
      <c r="U125" t="s">
        <v>250</v>
      </c>
      <c r="V125" t="str">
        <f t="shared" si="7"/>
        <v>degC</v>
      </c>
    </row>
    <row r="126" spans="1:22" x14ac:dyDescent="0.25">
      <c r="A126" t="s">
        <v>720</v>
      </c>
      <c r="B126">
        <v>93</v>
      </c>
      <c r="C126" t="s">
        <v>518</v>
      </c>
      <c r="D126" t="str">
        <f t="shared" si="4"/>
        <v>5D</v>
      </c>
      <c r="E126" t="s">
        <v>518</v>
      </c>
      <c r="F126" t="str">
        <f t="shared" si="5"/>
        <v>02015D5555555555</v>
      </c>
      <c r="G126" t="s">
        <v>1007</v>
      </c>
      <c r="H126" t="s">
        <v>519</v>
      </c>
      <c r="I126" t="str">
        <f t="shared" si="6"/>
        <v>S1_PID_5D_FuelInjectionTiming</v>
      </c>
      <c r="J126" t="s">
        <v>130</v>
      </c>
      <c r="K126" t="s">
        <v>520</v>
      </c>
      <c r="L126">
        <v>31</v>
      </c>
      <c r="M126">
        <v>16</v>
      </c>
      <c r="N126">
        <v>7.8125E-3</v>
      </c>
      <c r="O126">
        <v>-210</v>
      </c>
      <c r="P126">
        <v>-210</v>
      </c>
      <c r="Q126">
        <v>302</v>
      </c>
      <c r="R126" t="s">
        <v>131</v>
      </c>
      <c r="S126" t="s">
        <v>521</v>
      </c>
      <c r="T126" t="s">
        <v>522</v>
      </c>
      <c r="U126" t="s">
        <v>243</v>
      </c>
      <c r="V126" t="str">
        <f t="shared" si="7"/>
        <v>deg</v>
      </c>
    </row>
    <row r="127" spans="1:22" x14ac:dyDescent="0.25">
      <c r="A127" t="s">
        <v>720</v>
      </c>
      <c r="B127">
        <v>94</v>
      </c>
      <c r="C127" t="s">
        <v>523</v>
      </c>
      <c r="D127" t="str">
        <f t="shared" si="4"/>
        <v>5E</v>
      </c>
      <c r="E127" t="s">
        <v>523</v>
      </c>
      <c r="F127" t="str">
        <f t="shared" si="5"/>
        <v>02015E5555555555</v>
      </c>
      <c r="G127" t="s">
        <v>1008</v>
      </c>
      <c r="H127" t="s">
        <v>524</v>
      </c>
      <c r="I127" t="str">
        <f t="shared" si="6"/>
        <v>S1_PID_5E_EngineFuelRate</v>
      </c>
      <c r="J127" t="s">
        <v>132</v>
      </c>
      <c r="K127" t="s">
        <v>525</v>
      </c>
      <c r="L127">
        <v>31</v>
      </c>
      <c r="M127">
        <v>16</v>
      </c>
      <c r="N127">
        <v>0.05</v>
      </c>
      <c r="O127">
        <v>0</v>
      </c>
      <c r="P127">
        <v>0</v>
      </c>
      <c r="Q127">
        <v>3277</v>
      </c>
      <c r="R127" t="s">
        <v>133</v>
      </c>
      <c r="S127">
        <v>0.05</v>
      </c>
      <c r="T127" t="s">
        <v>526</v>
      </c>
      <c r="U127" t="s">
        <v>243</v>
      </c>
      <c r="V127" t="str">
        <f t="shared" si="7"/>
        <v>L/h</v>
      </c>
    </row>
    <row r="128" spans="1:22" x14ac:dyDescent="0.25">
      <c r="A128" t="s">
        <v>720</v>
      </c>
      <c r="B128">
        <v>95</v>
      </c>
      <c r="C128" t="s">
        <v>527</v>
      </c>
      <c r="D128" t="str">
        <f t="shared" si="4"/>
        <v>5F</v>
      </c>
      <c r="E128" t="s">
        <v>527</v>
      </c>
      <c r="F128" t="str">
        <f t="shared" si="5"/>
        <v>02015F5555555555</v>
      </c>
      <c r="G128" t="s">
        <v>1009</v>
      </c>
      <c r="H128" t="s">
        <v>528</v>
      </c>
      <c r="I128" t="str">
        <f t="shared" si="6"/>
        <v>S1_PID_5F_EmissionReq</v>
      </c>
      <c r="J128" t="s">
        <v>134</v>
      </c>
      <c r="K128" t="s">
        <v>529</v>
      </c>
      <c r="L128">
        <v>31</v>
      </c>
      <c r="M128">
        <v>8</v>
      </c>
      <c r="N128">
        <v>1</v>
      </c>
      <c r="O128">
        <v>0</v>
      </c>
      <c r="R128" t="s">
        <v>237</v>
      </c>
      <c r="S128">
        <v>1</v>
      </c>
      <c r="U128" t="s">
        <v>250</v>
      </c>
      <c r="V128" t="str">
        <f t="shared" si="7"/>
        <v>Encoded</v>
      </c>
    </row>
    <row r="129" spans="1:22" x14ac:dyDescent="0.25">
      <c r="A129" t="s">
        <v>720</v>
      </c>
      <c r="B129">
        <v>96</v>
      </c>
      <c r="C129">
        <v>60</v>
      </c>
      <c r="D129" t="str">
        <f t="shared" si="4"/>
        <v>60</v>
      </c>
      <c r="E129" t="s">
        <v>771</v>
      </c>
      <c r="F129" t="str">
        <f t="shared" si="5"/>
        <v>0201605555555555</v>
      </c>
      <c r="G129" t="s">
        <v>1010</v>
      </c>
      <c r="H129" t="s">
        <v>530</v>
      </c>
      <c r="I129" t="str">
        <f t="shared" si="6"/>
        <v>S1_PID_60_PIDsSupported_61_80</v>
      </c>
      <c r="J129" t="s">
        <v>135</v>
      </c>
      <c r="K129" t="s">
        <v>531</v>
      </c>
      <c r="L129">
        <v>31</v>
      </c>
      <c r="M129">
        <v>32</v>
      </c>
      <c r="N129">
        <v>1</v>
      </c>
      <c r="O129">
        <v>0</v>
      </c>
      <c r="R129" t="s">
        <v>237</v>
      </c>
      <c r="S129">
        <v>1</v>
      </c>
      <c r="U129" t="s">
        <v>238</v>
      </c>
      <c r="V129" t="str">
        <f t="shared" si="7"/>
        <v>Encoded</v>
      </c>
    </row>
    <row r="130" spans="1:22" x14ac:dyDescent="0.25">
      <c r="A130" t="s">
        <v>720</v>
      </c>
      <c r="B130">
        <v>97</v>
      </c>
      <c r="C130">
        <v>61</v>
      </c>
      <c r="D130" t="str">
        <f t="shared" si="4"/>
        <v>61</v>
      </c>
      <c r="E130" t="s">
        <v>772</v>
      </c>
      <c r="F130" t="str">
        <f t="shared" si="5"/>
        <v>0201615555555555</v>
      </c>
      <c r="G130" t="s">
        <v>1011</v>
      </c>
      <c r="H130" t="s">
        <v>532</v>
      </c>
      <c r="I130" t="str">
        <f t="shared" si="6"/>
        <v>S1_PID_61_DemandEngTorqPct</v>
      </c>
      <c r="J130" t="s">
        <v>136</v>
      </c>
      <c r="K130" t="s">
        <v>533</v>
      </c>
      <c r="L130">
        <v>31</v>
      </c>
      <c r="M130">
        <v>8</v>
      </c>
      <c r="N130">
        <v>1</v>
      </c>
      <c r="O130">
        <v>-125</v>
      </c>
      <c r="P130">
        <v>-125</v>
      </c>
      <c r="Q130">
        <v>130</v>
      </c>
      <c r="R130" t="s">
        <v>29</v>
      </c>
      <c r="S130">
        <v>1</v>
      </c>
      <c r="T130" t="s">
        <v>534</v>
      </c>
      <c r="U130" t="s">
        <v>250</v>
      </c>
      <c r="V130" t="str">
        <f t="shared" si="7"/>
        <v>%</v>
      </c>
    </row>
    <row r="131" spans="1:22" x14ac:dyDescent="0.25">
      <c r="A131" t="s">
        <v>720</v>
      </c>
      <c r="B131">
        <v>98</v>
      </c>
      <c r="C131">
        <v>62</v>
      </c>
      <c r="D131" t="str">
        <f t="shared" ref="D131:D194" si="8">DEC2HEX(B131,2)</f>
        <v>62</v>
      </c>
      <c r="E131" t="s">
        <v>773</v>
      </c>
      <c r="F131" t="str">
        <f t="shared" ref="F131:G194" si="9">"0201"&amp;E131&amp;"5555555555"</f>
        <v>0201625555555555</v>
      </c>
      <c r="G131" t="s">
        <v>1012</v>
      </c>
      <c r="H131" t="s">
        <v>535</v>
      </c>
      <c r="I131" t="str">
        <f t="shared" ref="I131:I194" si="10">A131&amp;"_PID_"&amp;E131&amp;"_"&amp;H131</f>
        <v>S1_PID_62_ActualEngTorqPct</v>
      </c>
      <c r="J131" t="s">
        <v>137</v>
      </c>
      <c r="K131" t="s">
        <v>536</v>
      </c>
      <c r="L131">
        <v>31</v>
      </c>
      <c r="M131">
        <v>8</v>
      </c>
      <c r="N131">
        <v>1</v>
      </c>
      <c r="O131">
        <v>-125</v>
      </c>
      <c r="P131">
        <v>-125</v>
      </c>
      <c r="Q131">
        <v>130</v>
      </c>
      <c r="R131" t="s">
        <v>29</v>
      </c>
      <c r="S131">
        <v>1</v>
      </c>
      <c r="T131" t="s">
        <v>534</v>
      </c>
      <c r="U131" t="s">
        <v>250</v>
      </c>
      <c r="V131" t="str">
        <f t="shared" ref="V131:V194" si="11">IF(R131="","N/A",R131)</f>
        <v>%</v>
      </c>
    </row>
    <row r="132" spans="1:22" x14ac:dyDescent="0.25">
      <c r="A132" t="s">
        <v>720</v>
      </c>
      <c r="B132">
        <v>99</v>
      </c>
      <c r="C132">
        <v>63</v>
      </c>
      <c r="D132" t="str">
        <f t="shared" si="8"/>
        <v>63</v>
      </c>
      <c r="E132" t="s">
        <v>774</v>
      </c>
      <c r="F132" t="str">
        <f t="shared" si="9"/>
        <v>0201635555555555</v>
      </c>
      <c r="G132" t="s">
        <v>1013</v>
      </c>
      <c r="H132" t="s">
        <v>537</v>
      </c>
      <c r="I132" t="str">
        <f t="shared" si="10"/>
        <v>S1_PID_63_EngRefTorq</v>
      </c>
      <c r="J132" t="s">
        <v>138</v>
      </c>
      <c r="K132" t="s">
        <v>538</v>
      </c>
      <c r="L132">
        <v>31</v>
      </c>
      <c r="M132">
        <v>16</v>
      </c>
      <c r="N132">
        <v>1</v>
      </c>
      <c r="O132">
        <v>0</v>
      </c>
      <c r="P132">
        <v>0</v>
      </c>
      <c r="Q132">
        <v>65535</v>
      </c>
      <c r="R132" t="s">
        <v>139</v>
      </c>
      <c r="S132">
        <v>1</v>
      </c>
      <c r="T132" t="s">
        <v>342</v>
      </c>
      <c r="U132" t="s">
        <v>243</v>
      </c>
      <c r="V132" t="str">
        <f t="shared" si="11"/>
        <v>Nm</v>
      </c>
    </row>
    <row r="133" spans="1:22" x14ac:dyDescent="0.25">
      <c r="A133" t="s">
        <v>720</v>
      </c>
      <c r="B133">
        <v>100</v>
      </c>
      <c r="C133">
        <v>64</v>
      </c>
      <c r="D133" t="str">
        <f t="shared" si="8"/>
        <v>64</v>
      </c>
      <c r="E133" t="s">
        <v>775</v>
      </c>
      <c r="F133" t="str">
        <f t="shared" si="9"/>
        <v>0201645555555555</v>
      </c>
      <c r="G133" t="s">
        <v>1014</v>
      </c>
      <c r="H133" t="s">
        <v>539</v>
      </c>
      <c r="I133" t="str">
        <f t="shared" si="10"/>
        <v>S1_PID_64_EngPctTorq_Idle</v>
      </c>
      <c r="J133" t="s">
        <v>140</v>
      </c>
      <c r="K133" t="s">
        <v>540</v>
      </c>
      <c r="L133">
        <v>31</v>
      </c>
      <c r="M133">
        <v>8</v>
      </c>
      <c r="N133">
        <v>1</v>
      </c>
      <c r="O133">
        <v>-125</v>
      </c>
      <c r="P133">
        <v>-125</v>
      </c>
      <c r="Q133">
        <v>130</v>
      </c>
      <c r="R133" t="s">
        <v>29</v>
      </c>
      <c r="S133">
        <v>1</v>
      </c>
      <c r="T133" t="s">
        <v>534</v>
      </c>
      <c r="U133" t="s">
        <v>250</v>
      </c>
      <c r="V133" t="str">
        <f t="shared" si="11"/>
        <v>%</v>
      </c>
    </row>
    <row r="134" spans="1:22" x14ac:dyDescent="0.25">
      <c r="A134" t="s">
        <v>720</v>
      </c>
      <c r="B134">
        <v>100</v>
      </c>
      <c r="C134">
        <v>64</v>
      </c>
      <c r="D134" t="str">
        <f t="shared" si="8"/>
        <v>64</v>
      </c>
      <c r="E134" t="s">
        <v>775</v>
      </c>
      <c r="F134" t="str">
        <f t="shared" si="9"/>
        <v>0201645555555555</v>
      </c>
      <c r="G134" t="s">
        <v>1014</v>
      </c>
      <c r="H134" t="s">
        <v>541</v>
      </c>
      <c r="I134" t="str">
        <f t="shared" si="10"/>
        <v>S1_PID_64_EngPctTorq_EP1</v>
      </c>
      <c r="J134" t="s">
        <v>171</v>
      </c>
      <c r="K134" t="s">
        <v>542</v>
      </c>
      <c r="L134">
        <v>39</v>
      </c>
      <c r="M134">
        <v>8</v>
      </c>
      <c r="N134">
        <v>1</v>
      </c>
      <c r="O134">
        <v>-125</v>
      </c>
      <c r="P134">
        <v>-125</v>
      </c>
      <c r="Q134">
        <v>130</v>
      </c>
      <c r="R134" t="s">
        <v>29</v>
      </c>
      <c r="S134">
        <v>1</v>
      </c>
      <c r="T134" t="s">
        <v>534</v>
      </c>
      <c r="U134" t="s">
        <v>299</v>
      </c>
      <c r="V134" t="str">
        <f t="shared" si="11"/>
        <v>%</v>
      </c>
    </row>
    <row r="135" spans="1:22" x14ac:dyDescent="0.25">
      <c r="A135" t="s">
        <v>720</v>
      </c>
      <c r="B135">
        <v>100</v>
      </c>
      <c r="C135">
        <v>64</v>
      </c>
      <c r="D135" t="str">
        <f t="shared" si="8"/>
        <v>64</v>
      </c>
      <c r="E135" t="s">
        <v>775</v>
      </c>
      <c r="F135" t="str">
        <f t="shared" si="9"/>
        <v>0201645555555555</v>
      </c>
      <c r="G135" t="s">
        <v>1014</v>
      </c>
      <c r="H135" t="s">
        <v>543</v>
      </c>
      <c r="I135" t="str">
        <f t="shared" si="10"/>
        <v>S1_PID_64_EngPctTorq_EP2</v>
      </c>
      <c r="J135" t="s">
        <v>190</v>
      </c>
      <c r="K135" t="s">
        <v>544</v>
      </c>
      <c r="L135">
        <v>47</v>
      </c>
      <c r="M135">
        <v>8</v>
      </c>
      <c r="N135">
        <v>1</v>
      </c>
      <c r="O135">
        <v>-125</v>
      </c>
      <c r="P135">
        <v>-125</v>
      </c>
      <c r="Q135">
        <v>130</v>
      </c>
      <c r="R135" t="s">
        <v>29</v>
      </c>
      <c r="S135">
        <v>1</v>
      </c>
      <c r="T135" t="s">
        <v>534</v>
      </c>
      <c r="U135" t="s">
        <v>474</v>
      </c>
      <c r="V135" t="str">
        <f t="shared" si="11"/>
        <v>%</v>
      </c>
    </row>
    <row r="136" spans="1:22" x14ac:dyDescent="0.25">
      <c r="A136" t="s">
        <v>720</v>
      </c>
      <c r="B136">
        <v>100</v>
      </c>
      <c r="C136">
        <v>64</v>
      </c>
      <c r="D136" t="str">
        <f t="shared" si="8"/>
        <v>64</v>
      </c>
      <c r="E136" t="s">
        <v>775</v>
      </c>
      <c r="F136" t="str">
        <f t="shared" si="9"/>
        <v>0201645555555555</v>
      </c>
      <c r="G136" t="s">
        <v>1014</v>
      </c>
      <c r="H136" t="s">
        <v>545</v>
      </c>
      <c r="I136" t="str">
        <f t="shared" si="10"/>
        <v>S1_PID_64_EngPctTorq_EP3</v>
      </c>
      <c r="J136" t="s">
        <v>192</v>
      </c>
      <c r="K136" t="s">
        <v>546</v>
      </c>
      <c r="L136">
        <v>55</v>
      </c>
      <c r="M136">
        <v>8</v>
      </c>
      <c r="N136">
        <v>1</v>
      </c>
      <c r="O136">
        <v>-125</v>
      </c>
      <c r="P136">
        <v>-125</v>
      </c>
      <c r="Q136">
        <v>130</v>
      </c>
      <c r="R136" t="s">
        <v>29</v>
      </c>
      <c r="S136">
        <v>1</v>
      </c>
      <c r="T136" t="s">
        <v>534</v>
      </c>
      <c r="U136" t="s">
        <v>478</v>
      </c>
      <c r="V136" t="str">
        <f t="shared" si="11"/>
        <v>%</v>
      </c>
    </row>
    <row r="137" spans="1:22" x14ac:dyDescent="0.25">
      <c r="A137" t="s">
        <v>720</v>
      </c>
      <c r="B137">
        <v>100</v>
      </c>
      <c r="C137">
        <v>64</v>
      </c>
      <c r="D137" t="str">
        <f t="shared" si="8"/>
        <v>64</v>
      </c>
      <c r="E137" t="s">
        <v>775</v>
      </c>
      <c r="F137" t="str">
        <f t="shared" si="9"/>
        <v>0201645555555555</v>
      </c>
      <c r="G137" t="s">
        <v>1014</v>
      </c>
      <c r="H137" t="s">
        <v>547</v>
      </c>
      <c r="I137" t="str">
        <f t="shared" si="10"/>
        <v>S1_PID_64_EngPctTorq_EP4</v>
      </c>
      <c r="J137" t="s">
        <v>193</v>
      </c>
      <c r="K137" t="s">
        <v>548</v>
      </c>
      <c r="L137">
        <v>63</v>
      </c>
      <c r="M137">
        <v>8</v>
      </c>
      <c r="N137">
        <v>1</v>
      </c>
      <c r="O137">
        <v>-125</v>
      </c>
      <c r="P137">
        <v>-125</v>
      </c>
      <c r="Q137">
        <v>130</v>
      </c>
      <c r="R137" t="s">
        <v>29</v>
      </c>
      <c r="S137">
        <v>1</v>
      </c>
      <c r="T137" t="s">
        <v>534</v>
      </c>
      <c r="U137" t="s">
        <v>549</v>
      </c>
      <c r="V137" t="str">
        <f t="shared" si="11"/>
        <v>%</v>
      </c>
    </row>
    <row r="138" spans="1:22" x14ac:dyDescent="0.25">
      <c r="A138" t="s">
        <v>720</v>
      </c>
      <c r="B138">
        <v>101</v>
      </c>
      <c r="C138">
        <v>65</v>
      </c>
      <c r="D138" t="str">
        <f t="shared" si="8"/>
        <v>65</v>
      </c>
      <c r="E138" t="s">
        <v>776</v>
      </c>
      <c r="F138" t="str">
        <f t="shared" si="9"/>
        <v>0201655555555555</v>
      </c>
      <c r="G138" t="s">
        <v>1015</v>
      </c>
      <c r="H138" t="s">
        <v>550</v>
      </c>
      <c r="I138" t="str">
        <f t="shared" si="10"/>
        <v>S1_PID_65_AuxInputOutput</v>
      </c>
      <c r="J138" t="s">
        <v>141</v>
      </c>
      <c r="K138" t="s">
        <v>551</v>
      </c>
      <c r="L138">
        <v>31</v>
      </c>
      <c r="M138">
        <v>8</v>
      </c>
      <c r="N138">
        <v>1</v>
      </c>
      <c r="O138">
        <v>0</v>
      </c>
      <c r="R138" t="s">
        <v>237</v>
      </c>
      <c r="S138">
        <v>1</v>
      </c>
      <c r="U138" t="s">
        <v>250</v>
      </c>
      <c r="V138" t="str">
        <f t="shared" si="11"/>
        <v>Encoded</v>
      </c>
    </row>
    <row r="139" spans="1:22" x14ac:dyDescent="0.25">
      <c r="A139" t="s">
        <v>720</v>
      </c>
      <c r="B139">
        <v>102</v>
      </c>
      <c r="C139">
        <v>66</v>
      </c>
      <c r="D139" t="str">
        <f t="shared" si="8"/>
        <v>66</v>
      </c>
      <c r="E139" t="s">
        <v>777</v>
      </c>
      <c r="F139" t="str">
        <f t="shared" si="9"/>
        <v>0201665555555555</v>
      </c>
      <c r="G139" t="s">
        <v>1016</v>
      </c>
      <c r="H139" t="s">
        <v>552</v>
      </c>
      <c r="I139" t="str">
        <f t="shared" si="10"/>
        <v>S1_PID_66_MAFSensorA</v>
      </c>
      <c r="J139" t="s">
        <v>856</v>
      </c>
      <c r="K139" t="s">
        <v>553</v>
      </c>
      <c r="L139">
        <v>39</v>
      </c>
      <c r="M139">
        <v>16</v>
      </c>
      <c r="N139">
        <v>3.125E-2</v>
      </c>
      <c r="O139">
        <v>0</v>
      </c>
      <c r="P139">
        <v>0</v>
      </c>
      <c r="Q139">
        <v>2048</v>
      </c>
      <c r="R139" t="s">
        <v>47</v>
      </c>
      <c r="S139" t="s">
        <v>554</v>
      </c>
      <c r="T139" t="s">
        <v>555</v>
      </c>
      <c r="U139" t="s">
        <v>556</v>
      </c>
      <c r="V139" t="str">
        <f t="shared" si="11"/>
        <v>grams/sec</v>
      </c>
    </row>
    <row r="140" spans="1:22" x14ac:dyDescent="0.25">
      <c r="A140" t="s">
        <v>720</v>
      </c>
      <c r="B140">
        <v>102</v>
      </c>
      <c r="C140">
        <v>66</v>
      </c>
      <c r="D140" t="str">
        <f t="shared" si="8"/>
        <v>66</v>
      </c>
      <c r="E140" t="s">
        <v>777</v>
      </c>
      <c r="F140" t="str">
        <f t="shared" si="9"/>
        <v>0201665555555555</v>
      </c>
      <c r="G140" t="s">
        <v>1016</v>
      </c>
      <c r="H140" t="s">
        <v>557</v>
      </c>
      <c r="I140" t="str">
        <f t="shared" si="10"/>
        <v>S1_PID_66_MAFSensorB</v>
      </c>
      <c r="J140" t="s">
        <v>857</v>
      </c>
      <c r="K140" t="s">
        <v>558</v>
      </c>
      <c r="L140">
        <v>55</v>
      </c>
      <c r="M140">
        <v>16</v>
      </c>
      <c r="N140">
        <v>3.125E-2</v>
      </c>
      <c r="O140">
        <v>0</v>
      </c>
      <c r="P140">
        <v>0</v>
      </c>
      <c r="Q140">
        <v>2048</v>
      </c>
      <c r="R140" t="s">
        <v>47</v>
      </c>
      <c r="S140" t="s">
        <v>554</v>
      </c>
      <c r="T140" t="s">
        <v>555</v>
      </c>
      <c r="U140" t="s">
        <v>559</v>
      </c>
      <c r="V140" t="str">
        <f t="shared" si="11"/>
        <v>grams/sec</v>
      </c>
    </row>
    <row r="141" spans="1:22" x14ac:dyDescent="0.25">
      <c r="A141" t="s">
        <v>720</v>
      </c>
      <c r="B141">
        <v>103</v>
      </c>
      <c r="C141">
        <v>67</v>
      </c>
      <c r="D141" t="str">
        <f t="shared" si="8"/>
        <v>67</v>
      </c>
      <c r="E141" t="s">
        <v>778</v>
      </c>
      <c r="F141" t="str">
        <f t="shared" si="9"/>
        <v>0201675555555555</v>
      </c>
      <c r="G141" t="s">
        <v>1017</v>
      </c>
      <c r="H141" t="s">
        <v>560</v>
      </c>
      <c r="I141" t="str">
        <f t="shared" si="10"/>
        <v>S1_PID_67_EngineCoolantTemp1</v>
      </c>
      <c r="J141" t="s">
        <v>858</v>
      </c>
      <c r="K141" t="s">
        <v>561</v>
      </c>
      <c r="L141">
        <v>39</v>
      </c>
      <c r="M141">
        <v>8</v>
      </c>
      <c r="N141">
        <v>1</v>
      </c>
      <c r="O141">
        <v>-40</v>
      </c>
      <c r="P141">
        <v>-40</v>
      </c>
      <c r="Q141">
        <v>215</v>
      </c>
      <c r="R141" t="s">
        <v>31</v>
      </c>
      <c r="S141">
        <v>1</v>
      </c>
      <c r="T141" t="s">
        <v>253</v>
      </c>
      <c r="U141" t="s">
        <v>299</v>
      </c>
      <c r="V141" t="str">
        <f t="shared" si="11"/>
        <v>degC</v>
      </c>
    </row>
    <row r="142" spans="1:22" x14ac:dyDescent="0.25">
      <c r="A142" t="s">
        <v>720</v>
      </c>
      <c r="B142">
        <v>103</v>
      </c>
      <c r="C142">
        <v>67</v>
      </c>
      <c r="D142" t="str">
        <f t="shared" si="8"/>
        <v>67</v>
      </c>
      <c r="E142" t="s">
        <v>778</v>
      </c>
      <c r="F142" t="str">
        <f t="shared" si="9"/>
        <v>0201675555555555</v>
      </c>
      <c r="G142" t="s">
        <v>1017</v>
      </c>
      <c r="H142" t="s">
        <v>562</v>
      </c>
      <c r="I142" t="str">
        <f t="shared" si="10"/>
        <v>S1_PID_67_EngineCoolantTemp2</v>
      </c>
      <c r="J142" t="s">
        <v>859</v>
      </c>
      <c r="K142" t="s">
        <v>563</v>
      </c>
      <c r="L142">
        <v>47</v>
      </c>
      <c r="M142">
        <v>8</v>
      </c>
      <c r="N142">
        <v>1</v>
      </c>
      <c r="O142">
        <v>-40</v>
      </c>
      <c r="P142">
        <v>-40</v>
      </c>
      <c r="Q142">
        <v>215</v>
      </c>
      <c r="R142" t="s">
        <v>31</v>
      </c>
      <c r="S142">
        <v>1</v>
      </c>
      <c r="T142" t="s">
        <v>253</v>
      </c>
      <c r="U142" t="s">
        <v>474</v>
      </c>
      <c r="V142" t="str">
        <f t="shared" si="11"/>
        <v>degC</v>
      </c>
    </row>
    <row r="143" spans="1:22" x14ac:dyDescent="0.25">
      <c r="A143" t="s">
        <v>720</v>
      </c>
      <c r="B143">
        <v>104</v>
      </c>
      <c r="C143">
        <v>68</v>
      </c>
      <c r="D143" t="str">
        <f t="shared" si="8"/>
        <v>68</v>
      </c>
      <c r="E143" t="s">
        <v>779</v>
      </c>
      <c r="F143" t="str">
        <f t="shared" si="9"/>
        <v>0201685555555555</v>
      </c>
      <c r="G143" t="s">
        <v>1018</v>
      </c>
      <c r="H143" t="s">
        <v>564</v>
      </c>
      <c r="I143" t="str">
        <f t="shared" si="10"/>
        <v>S1_PID_68_IntakeAirTempSens1</v>
      </c>
      <c r="J143" t="s">
        <v>860</v>
      </c>
      <c r="K143" t="s">
        <v>565</v>
      </c>
      <c r="L143">
        <v>39</v>
      </c>
      <c r="M143">
        <v>8</v>
      </c>
      <c r="N143">
        <v>1</v>
      </c>
      <c r="O143">
        <v>-40</v>
      </c>
      <c r="P143">
        <v>-40</v>
      </c>
      <c r="Q143">
        <v>215</v>
      </c>
      <c r="R143" t="s">
        <v>31</v>
      </c>
      <c r="S143">
        <v>1</v>
      </c>
      <c r="T143" t="s">
        <v>253</v>
      </c>
      <c r="U143" t="s">
        <v>299</v>
      </c>
      <c r="V143" t="str">
        <f t="shared" si="11"/>
        <v>degC</v>
      </c>
    </row>
    <row r="144" spans="1:22" x14ac:dyDescent="0.25">
      <c r="A144" t="s">
        <v>720</v>
      </c>
      <c r="B144">
        <v>104</v>
      </c>
      <c r="C144">
        <v>68</v>
      </c>
      <c r="D144" t="str">
        <f t="shared" si="8"/>
        <v>68</v>
      </c>
      <c r="E144" t="s">
        <v>779</v>
      </c>
      <c r="F144" t="str">
        <f t="shared" si="9"/>
        <v>0201685555555555</v>
      </c>
      <c r="G144" t="s">
        <v>1018</v>
      </c>
      <c r="H144" t="s">
        <v>566</v>
      </c>
      <c r="I144" t="str">
        <f t="shared" si="10"/>
        <v>S1_PID_68_IntakeAirTempSens2</v>
      </c>
      <c r="J144" t="s">
        <v>861</v>
      </c>
      <c r="K144" t="s">
        <v>567</v>
      </c>
      <c r="L144">
        <v>47</v>
      </c>
      <c r="M144">
        <v>8</v>
      </c>
      <c r="N144">
        <v>1</v>
      </c>
      <c r="O144">
        <v>-40</v>
      </c>
      <c r="P144">
        <v>-40</v>
      </c>
      <c r="Q144">
        <v>215</v>
      </c>
      <c r="R144" t="s">
        <v>31</v>
      </c>
      <c r="S144">
        <v>1</v>
      </c>
      <c r="T144" t="s">
        <v>253</v>
      </c>
      <c r="U144" t="s">
        <v>474</v>
      </c>
      <c r="V144" t="str">
        <f t="shared" si="11"/>
        <v>degC</v>
      </c>
    </row>
    <row r="145" spans="1:22" x14ac:dyDescent="0.25">
      <c r="A145" t="s">
        <v>720</v>
      </c>
      <c r="B145">
        <v>105</v>
      </c>
      <c r="C145">
        <v>69</v>
      </c>
      <c r="D145" t="str">
        <f t="shared" si="8"/>
        <v>69</v>
      </c>
      <c r="E145" t="s">
        <v>780</v>
      </c>
      <c r="F145" t="str">
        <f t="shared" si="9"/>
        <v>0201695555555555</v>
      </c>
      <c r="G145" t="s">
        <v>1019</v>
      </c>
      <c r="H145" t="s">
        <v>568</v>
      </c>
      <c r="I145" t="str">
        <f t="shared" si="10"/>
        <v>S1_PID_69_CmdEGR_EGRError</v>
      </c>
      <c r="J145" t="s">
        <v>145</v>
      </c>
      <c r="K145" t="s">
        <v>569</v>
      </c>
      <c r="V145" t="str">
        <f t="shared" si="11"/>
        <v>N/A</v>
      </c>
    </row>
    <row r="146" spans="1:22" x14ac:dyDescent="0.25">
      <c r="A146" t="s">
        <v>720</v>
      </c>
      <c r="B146">
        <v>106</v>
      </c>
      <c r="C146" t="s">
        <v>570</v>
      </c>
      <c r="D146" t="str">
        <f t="shared" si="8"/>
        <v>6A</v>
      </c>
      <c r="E146" t="s">
        <v>570</v>
      </c>
      <c r="F146" t="str">
        <f t="shared" si="9"/>
        <v>02016A5555555555</v>
      </c>
      <c r="G146" t="s">
        <v>1020</v>
      </c>
      <c r="H146" t="s">
        <v>571</v>
      </c>
      <c r="I146" t="str">
        <f t="shared" si="10"/>
        <v>S1_PID_6A_CmdDieselIntAir</v>
      </c>
      <c r="J146" t="s">
        <v>146</v>
      </c>
      <c r="K146" t="s">
        <v>572</v>
      </c>
      <c r="V146" t="str">
        <f t="shared" si="11"/>
        <v>N/A</v>
      </c>
    </row>
    <row r="147" spans="1:22" x14ac:dyDescent="0.25">
      <c r="A147" t="s">
        <v>720</v>
      </c>
      <c r="B147">
        <v>107</v>
      </c>
      <c r="C147" t="s">
        <v>573</v>
      </c>
      <c r="D147" t="str">
        <f t="shared" si="8"/>
        <v>6B</v>
      </c>
      <c r="E147" t="s">
        <v>573</v>
      </c>
      <c r="F147" t="str">
        <f t="shared" si="9"/>
        <v>02016B5555555555</v>
      </c>
      <c r="G147" t="s">
        <v>1021</v>
      </c>
      <c r="H147" t="s">
        <v>574</v>
      </c>
      <c r="I147" t="str">
        <f t="shared" si="10"/>
        <v>S1_PID_6B_ExhaustGasTemp</v>
      </c>
      <c r="J147" t="s">
        <v>147</v>
      </c>
      <c r="K147" t="s">
        <v>575</v>
      </c>
      <c r="V147" t="str">
        <f t="shared" si="11"/>
        <v>N/A</v>
      </c>
    </row>
    <row r="148" spans="1:22" x14ac:dyDescent="0.25">
      <c r="A148" t="s">
        <v>720</v>
      </c>
      <c r="B148">
        <v>108</v>
      </c>
      <c r="C148" t="s">
        <v>576</v>
      </c>
      <c r="D148" t="str">
        <f t="shared" si="8"/>
        <v>6C</v>
      </c>
      <c r="E148" t="s">
        <v>576</v>
      </c>
      <c r="F148" t="str">
        <f t="shared" si="9"/>
        <v>02016C5555555555</v>
      </c>
      <c r="G148" t="s">
        <v>1022</v>
      </c>
      <c r="H148" t="s">
        <v>577</v>
      </c>
      <c r="I148" t="str">
        <f t="shared" si="10"/>
        <v>S1_PID_6C_CmdThrottleActRel</v>
      </c>
      <c r="J148" t="s">
        <v>148</v>
      </c>
      <c r="K148" t="s">
        <v>578</v>
      </c>
      <c r="V148" t="str">
        <f t="shared" si="11"/>
        <v>N/A</v>
      </c>
    </row>
    <row r="149" spans="1:22" x14ac:dyDescent="0.25">
      <c r="A149" t="s">
        <v>720</v>
      </c>
      <c r="B149">
        <v>109</v>
      </c>
      <c r="C149" t="s">
        <v>579</v>
      </c>
      <c r="D149" t="str">
        <f t="shared" si="8"/>
        <v>6D</v>
      </c>
      <c r="E149" t="s">
        <v>579</v>
      </c>
      <c r="F149" t="str">
        <f t="shared" si="9"/>
        <v>02016D5555555555</v>
      </c>
      <c r="G149" t="s">
        <v>1023</v>
      </c>
      <c r="H149" t="s">
        <v>580</v>
      </c>
      <c r="I149" t="str">
        <f t="shared" si="10"/>
        <v>S1_PID_6D_FuelPresContrSys</v>
      </c>
      <c r="J149" t="s">
        <v>149</v>
      </c>
      <c r="K149" t="s">
        <v>581</v>
      </c>
      <c r="V149" t="str">
        <f t="shared" si="11"/>
        <v>N/A</v>
      </c>
    </row>
    <row r="150" spans="1:22" x14ac:dyDescent="0.25">
      <c r="A150" t="s">
        <v>720</v>
      </c>
      <c r="B150">
        <v>110</v>
      </c>
      <c r="C150" t="s">
        <v>582</v>
      </c>
      <c r="D150" t="str">
        <f t="shared" si="8"/>
        <v>6E</v>
      </c>
      <c r="E150" t="s">
        <v>582</v>
      </c>
      <c r="F150" t="str">
        <f t="shared" si="9"/>
        <v>02016E5555555555</v>
      </c>
      <c r="G150" t="s">
        <v>1024</v>
      </c>
      <c r="H150" t="s">
        <v>583</v>
      </c>
      <c r="I150" t="str">
        <f t="shared" si="10"/>
        <v>S1_PID_6E_InjPresContrSys</v>
      </c>
      <c r="J150" t="s">
        <v>150</v>
      </c>
      <c r="K150" t="s">
        <v>584</v>
      </c>
      <c r="V150" t="str">
        <f t="shared" si="11"/>
        <v>N/A</v>
      </c>
    </row>
    <row r="151" spans="1:22" x14ac:dyDescent="0.25">
      <c r="A151" t="s">
        <v>720</v>
      </c>
      <c r="B151">
        <v>111</v>
      </c>
      <c r="C151" t="s">
        <v>585</v>
      </c>
      <c r="D151" t="str">
        <f t="shared" si="8"/>
        <v>6F</v>
      </c>
      <c r="E151" t="s">
        <v>585</v>
      </c>
      <c r="F151" t="str">
        <f t="shared" si="9"/>
        <v>02016F5555555555</v>
      </c>
      <c r="G151" t="s">
        <v>1025</v>
      </c>
      <c r="H151" t="s">
        <v>586</v>
      </c>
      <c r="I151" t="str">
        <f t="shared" si="10"/>
        <v>S1_PID_6F_TurboComprPres</v>
      </c>
      <c r="J151" t="s">
        <v>151</v>
      </c>
      <c r="K151" t="s">
        <v>587</v>
      </c>
      <c r="V151" t="str">
        <f t="shared" si="11"/>
        <v>N/A</v>
      </c>
    </row>
    <row r="152" spans="1:22" x14ac:dyDescent="0.25">
      <c r="A152" t="s">
        <v>720</v>
      </c>
      <c r="B152">
        <v>112</v>
      </c>
      <c r="C152">
        <v>70</v>
      </c>
      <c r="D152" t="str">
        <f t="shared" si="8"/>
        <v>70</v>
      </c>
      <c r="E152" t="s">
        <v>781</v>
      </c>
      <c r="F152" t="str">
        <f t="shared" si="9"/>
        <v>0201705555555555</v>
      </c>
      <c r="G152" t="s">
        <v>1026</v>
      </c>
      <c r="H152" t="s">
        <v>588</v>
      </c>
      <c r="I152" t="str">
        <f t="shared" si="10"/>
        <v>S1_PID_70_BoostPresCntrl</v>
      </c>
      <c r="J152" t="s">
        <v>152</v>
      </c>
      <c r="K152" t="s">
        <v>589</v>
      </c>
      <c r="V152" t="str">
        <f t="shared" si="11"/>
        <v>N/A</v>
      </c>
    </row>
    <row r="153" spans="1:22" x14ac:dyDescent="0.25">
      <c r="A153" t="s">
        <v>720</v>
      </c>
      <c r="B153">
        <v>113</v>
      </c>
      <c r="C153">
        <v>71</v>
      </c>
      <c r="D153" t="str">
        <f t="shared" si="8"/>
        <v>71</v>
      </c>
      <c r="E153" t="s">
        <v>782</v>
      </c>
      <c r="F153" t="str">
        <f t="shared" si="9"/>
        <v>0201715555555555</v>
      </c>
      <c r="G153" t="s">
        <v>1027</v>
      </c>
      <c r="H153" t="s">
        <v>590</v>
      </c>
      <c r="I153" t="str">
        <f t="shared" si="10"/>
        <v>S1_PID_71_VariableGeoTurboVGTCtr</v>
      </c>
      <c r="J153" t="s">
        <v>862</v>
      </c>
      <c r="K153" t="s">
        <v>591</v>
      </c>
      <c r="V153" t="str">
        <f t="shared" si="11"/>
        <v>N/A</v>
      </c>
    </row>
    <row r="154" spans="1:22" x14ac:dyDescent="0.25">
      <c r="A154" t="s">
        <v>720</v>
      </c>
      <c r="B154">
        <v>114</v>
      </c>
      <c r="C154">
        <v>72</v>
      </c>
      <c r="D154" t="str">
        <f t="shared" si="8"/>
        <v>72</v>
      </c>
      <c r="E154" t="s">
        <v>783</v>
      </c>
      <c r="F154" t="str">
        <f t="shared" si="9"/>
        <v>0201725555555555</v>
      </c>
      <c r="G154" t="s">
        <v>1028</v>
      </c>
      <c r="H154" t="s">
        <v>592</v>
      </c>
      <c r="I154" t="str">
        <f t="shared" si="10"/>
        <v>S1_PID_72_WastegateControl</v>
      </c>
      <c r="J154" t="s">
        <v>863</v>
      </c>
      <c r="K154" t="s">
        <v>593</v>
      </c>
      <c r="V154" t="str">
        <f t="shared" si="11"/>
        <v>N/A</v>
      </c>
    </row>
    <row r="155" spans="1:22" x14ac:dyDescent="0.25">
      <c r="A155" t="s">
        <v>720</v>
      </c>
      <c r="B155">
        <v>115</v>
      </c>
      <c r="C155">
        <v>73</v>
      </c>
      <c r="D155" t="str">
        <f t="shared" si="8"/>
        <v>73</v>
      </c>
      <c r="E155" t="s">
        <v>784</v>
      </c>
      <c r="F155" t="str">
        <f t="shared" si="9"/>
        <v>0201735555555555</v>
      </c>
      <c r="G155" t="s">
        <v>1029</v>
      </c>
      <c r="H155" t="s">
        <v>594</v>
      </c>
      <c r="I155" t="str">
        <f t="shared" si="10"/>
        <v>S1_PID_73_ExhaustPressure</v>
      </c>
      <c r="J155" t="s">
        <v>864</v>
      </c>
      <c r="K155" t="s">
        <v>595</v>
      </c>
      <c r="V155" t="str">
        <f t="shared" si="11"/>
        <v>N/A</v>
      </c>
    </row>
    <row r="156" spans="1:22" x14ac:dyDescent="0.25">
      <c r="A156" t="s">
        <v>720</v>
      </c>
      <c r="B156">
        <v>116</v>
      </c>
      <c r="C156">
        <v>74</v>
      </c>
      <c r="D156" t="str">
        <f t="shared" si="8"/>
        <v>74</v>
      </c>
      <c r="E156" t="s">
        <v>785</v>
      </c>
      <c r="F156" t="str">
        <f t="shared" si="9"/>
        <v>0201745555555555</v>
      </c>
      <c r="G156" t="s">
        <v>1030</v>
      </c>
      <c r="H156" t="s">
        <v>596</v>
      </c>
      <c r="I156" t="str">
        <f t="shared" si="10"/>
        <v>S1_PID_74_TurbochargerRpm</v>
      </c>
      <c r="J156" t="s">
        <v>865</v>
      </c>
      <c r="K156" t="s">
        <v>597</v>
      </c>
      <c r="V156" t="str">
        <f t="shared" si="11"/>
        <v>N/A</v>
      </c>
    </row>
    <row r="157" spans="1:22" x14ac:dyDescent="0.25">
      <c r="A157" t="s">
        <v>720</v>
      </c>
      <c r="B157">
        <v>117</v>
      </c>
      <c r="C157">
        <v>75</v>
      </c>
      <c r="D157" t="str">
        <f t="shared" si="8"/>
        <v>75</v>
      </c>
      <c r="E157" t="s">
        <v>786</v>
      </c>
      <c r="F157" t="str">
        <f t="shared" si="9"/>
        <v>0201755555555555</v>
      </c>
      <c r="G157" t="s">
        <v>1031</v>
      </c>
      <c r="H157" t="s">
        <v>598</v>
      </c>
      <c r="I157" t="str">
        <f t="shared" si="10"/>
        <v>S1_PID_75_TurbochargerTemperature</v>
      </c>
      <c r="J157" t="s">
        <v>866</v>
      </c>
      <c r="K157" t="s">
        <v>599</v>
      </c>
      <c r="V157" t="str">
        <f t="shared" si="11"/>
        <v>N/A</v>
      </c>
    </row>
    <row r="158" spans="1:22" x14ac:dyDescent="0.25">
      <c r="A158" t="s">
        <v>720</v>
      </c>
      <c r="B158">
        <v>118</v>
      </c>
      <c r="C158">
        <v>76</v>
      </c>
      <c r="D158" t="str">
        <f t="shared" si="8"/>
        <v>76</v>
      </c>
      <c r="E158" t="s">
        <v>787</v>
      </c>
      <c r="F158" t="str">
        <f t="shared" si="9"/>
        <v>0201765555555555</v>
      </c>
      <c r="G158" t="s">
        <v>1032</v>
      </c>
      <c r="H158" t="s">
        <v>598</v>
      </c>
      <c r="I158" t="str">
        <f t="shared" si="10"/>
        <v>S1_PID_76_TurbochargerTemperature</v>
      </c>
      <c r="J158" t="s">
        <v>867</v>
      </c>
      <c r="K158" t="s">
        <v>599</v>
      </c>
      <c r="V158" t="str">
        <f t="shared" si="11"/>
        <v>N/A</v>
      </c>
    </row>
    <row r="159" spans="1:22" x14ac:dyDescent="0.25">
      <c r="A159" t="s">
        <v>720</v>
      </c>
      <c r="B159">
        <v>119</v>
      </c>
      <c r="C159">
        <v>77</v>
      </c>
      <c r="D159" t="str">
        <f t="shared" si="8"/>
        <v>77</v>
      </c>
      <c r="E159" t="s">
        <v>788</v>
      </c>
      <c r="F159" t="str">
        <f t="shared" si="9"/>
        <v>0201775555555555</v>
      </c>
      <c r="G159" t="s">
        <v>1033</v>
      </c>
      <c r="H159" t="s">
        <v>600</v>
      </c>
      <c r="I159" t="str">
        <f t="shared" si="10"/>
        <v>S1_PID_77_ChargeAirCoolerTemperature</v>
      </c>
      <c r="J159" t="s">
        <v>868</v>
      </c>
      <c r="K159" t="s">
        <v>601</v>
      </c>
      <c r="V159" t="str">
        <f t="shared" si="11"/>
        <v>N/A</v>
      </c>
    </row>
    <row r="160" spans="1:22" x14ac:dyDescent="0.25">
      <c r="A160" t="s">
        <v>720</v>
      </c>
      <c r="B160">
        <v>120</v>
      </c>
      <c r="C160">
        <v>78</v>
      </c>
      <c r="D160" t="str">
        <f t="shared" si="8"/>
        <v>78</v>
      </c>
      <c r="E160" t="s">
        <v>789</v>
      </c>
      <c r="F160" t="str">
        <f t="shared" si="9"/>
        <v>0201785555555555</v>
      </c>
      <c r="G160" t="s">
        <v>1034</v>
      </c>
      <c r="H160" t="s">
        <v>602</v>
      </c>
      <c r="I160" t="str">
        <f t="shared" si="10"/>
        <v>S1_PID_78_EGT_Bank1</v>
      </c>
      <c r="J160" t="s">
        <v>869</v>
      </c>
      <c r="K160" t="s">
        <v>603</v>
      </c>
      <c r="V160" t="str">
        <f t="shared" si="11"/>
        <v>N/A</v>
      </c>
    </row>
    <row r="161" spans="1:22" x14ac:dyDescent="0.25">
      <c r="A161" t="s">
        <v>720</v>
      </c>
      <c r="B161">
        <v>121</v>
      </c>
      <c r="C161">
        <v>79</v>
      </c>
      <c r="D161" t="str">
        <f t="shared" si="8"/>
        <v>79</v>
      </c>
      <c r="E161" t="s">
        <v>790</v>
      </c>
      <c r="F161" t="str">
        <f t="shared" si="9"/>
        <v>0201795555555555</v>
      </c>
      <c r="G161" t="s">
        <v>1035</v>
      </c>
      <c r="H161" t="s">
        <v>604</v>
      </c>
      <c r="I161" t="str">
        <f t="shared" si="10"/>
        <v>S1_PID_79_EGT_Bank2</v>
      </c>
      <c r="J161" t="s">
        <v>870</v>
      </c>
      <c r="K161" t="s">
        <v>605</v>
      </c>
      <c r="V161" t="str">
        <f t="shared" si="11"/>
        <v>N/A</v>
      </c>
    </row>
    <row r="162" spans="1:22" x14ac:dyDescent="0.25">
      <c r="A162" t="s">
        <v>720</v>
      </c>
      <c r="B162">
        <v>122</v>
      </c>
      <c r="C162" t="s">
        <v>606</v>
      </c>
      <c r="D162" t="str">
        <f t="shared" si="8"/>
        <v>7A</v>
      </c>
      <c r="E162" t="s">
        <v>606</v>
      </c>
      <c r="F162" t="str">
        <f t="shared" si="9"/>
        <v>02017A5555555555</v>
      </c>
      <c r="G162" t="s">
        <v>1036</v>
      </c>
      <c r="H162" t="s">
        <v>607</v>
      </c>
      <c r="I162" t="str">
        <f t="shared" si="10"/>
        <v>S1_PID_7A_DPF_DifferentialPressure</v>
      </c>
      <c r="J162" t="s">
        <v>871</v>
      </c>
      <c r="K162" t="s">
        <v>608</v>
      </c>
      <c r="V162" t="str">
        <f t="shared" si="11"/>
        <v>N/A</v>
      </c>
    </row>
    <row r="163" spans="1:22" x14ac:dyDescent="0.25">
      <c r="A163" t="s">
        <v>720</v>
      </c>
      <c r="B163">
        <v>123</v>
      </c>
      <c r="C163" t="s">
        <v>609</v>
      </c>
      <c r="D163" t="str">
        <f t="shared" si="8"/>
        <v>7B</v>
      </c>
      <c r="E163" t="s">
        <v>609</v>
      </c>
      <c r="F163" t="str">
        <f t="shared" si="9"/>
        <v>02017B5555555555</v>
      </c>
      <c r="G163" t="s">
        <v>1037</v>
      </c>
      <c r="H163" t="s">
        <v>610</v>
      </c>
      <c r="I163" t="str">
        <f t="shared" si="10"/>
        <v>S1_PID_7B_DPF</v>
      </c>
      <c r="J163" t="s">
        <v>872</v>
      </c>
      <c r="K163" t="s">
        <v>611</v>
      </c>
      <c r="V163" t="str">
        <f t="shared" si="11"/>
        <v>N/A</v>
      </c>
    </row>
    <row r="164" spans="1:22" x14ac:dyDescent="0.25">
      <c r="A164" t="s">
        <v>720</v>
      </c>
      <c r="B164">
        <v>124</v>
      </c>
      <c r="C164" t="s">
        <v>612</v>
      </c>
      <c r="D164" t="str">
        <f t="shared" si="8"/>
        <v>7C</v>
      </c>
      <c r="E164" t="s">
        <v>612</v>
      </c>
      <c r="F164" t="str">
        <f t="shared" si="9"/>
        <v>02017C5555555555</v>
      </c>
      <c r="G164" t="s">
        <v>1038</v>
      </c>
      <c r="H164" t="s">
        <v>613</v>
      </c>
      <c r="I164" t="str">
        <f t="shared" si="10"/>
        <v>S1_PID_7C_DPF_Temperature</v>
      </c>
      <c r="J164" t="s">
        <v>873</v>
      </c>
      <c r="K164" t="s">
        <v>614</v>
      </c>
      <c r="L164">
        <v>31</v>
      </c>
      <c r="M164">
        <v>16</v>
      </c>
      <c r="N164">
        <v>0.1</v>
      </c>
      <c r="O164">
        <v>-40</v>
      </c>
      <c r="P164">
        <v>-40</v>
      </c>
      <c r="Q164">
        <v>6514</v>
      </c>
      <c r="R164" t="s">
        <v>31</v>
      </c>
      <c r="S164">
        <v>0.1</v>
      </c>
      <c r="T164" t="s">
        <v>420</v>
      </c>
      <c r="U164" t="s">
        <v>243</v>
      </c>
      <c r="V164" t="str">
        <f t="shared" si="11"/>
        <v>degC</v>
      </c>
    </row>
    <row r="165" spans="1:22" x14ac:dyDescent="0.25">
      <c r="A165" t="s">
        <v>720</v>
      </c>
      <c r="B165">
        <v>125</v>
      </c>
      <c r="C165" t="s">
        <v>615</v>
      </c>
      <c r="D165" t="str">
        <f t="shared" si="8"/>
        <v>7D</v>
      </c>
      <c r="E165" t="s">
        <v>615</v>
      </c>
      <c r="F165" t="str">
        <f t="shared" si="9"/>
        <v>02017D5555555555</v>
      </c>
      <c r="G165" t="s">
        <v>1039</v>
      </c>
      <c r="H165" t="s">
        <v>616</v>
      </c>
      <c r="I165" t="str">
        <f t="shared" si="10"/>
        <v>S1_PID_7D_NOx_NTE_ControlAreaStatus</v>
      </c>
      <c r="J165" t="s">
        <v>874</v>
      </c>
      <c r="K165" t="s">
        <v>617</v>
      </c>
      <c r="V165" t="str">
        <f t="shared" si="11"/>
        <v>N/A</v>
      </c>
    </row>
    <row r="166" spans="1:22" x14ac:dyDescent="0.25">
      <c r="A166" t="s">
        <v>720</v>
      </c>
      <c r="B166">
        <v>126</v>
      </c>
      <c r="C166" t="s">
        <v>618</v>
      </c>
      <c r="D166" t="str">
        <f t="shared" si="8"/>
        <v>7E</v>
      </c>
      <c r="E166" t="s">
        <v>618</v>
      </c>
      <c r="F166" t="str">
        <f t="shared" si="9"/>
        <v>02017E5555555555</v>
      </c>
      <c r="G166" t="s">
        <v>1040</v>
      </c>
      <c r="H166" t="s">
        <v>619</v>
      </c>
      <c r="I166" t="str">
        <f t="shared" si="10"/>
        <v>S1_PID_7E_PM_NTE_ControlAreaStatus</v>
      </c>
      <c r="J166" t="s">
        <v>875</v>
      </c>
      <c r="K166" t="s">
        <v>620</v>
      </c>
      <c r="V166" t="str">
        <f t="shared" si="11"/>
        <v>N/A</v>
      </c>
    </row>
    <row r="167" spans="1:22" x14ac:dyDescent="0.25">
      <c r="A167" t="s">
        <v>720</v>
      </c>
      <c r="B167">
        <v>127</v>
      </c>
      <c r="C167" t="s">
        <v>621</v>
      </c>
      <c r="D167" t="str">
        <f t="shared" si="8"/>
        <v>7F</v>
      </c>
      <c r="E167" t="s">
        <v>621</v>
      </c>
      <c r="F167" t="str">
        <f t="shared" si="9"/>
        <v>02017F5555555555</v>
      </c>
      <c r="G167" t="s">
        <v>1041</v>
      </c>
      <c r="H167" t="s">
        <v>622</v>
      </c>
      <c r="I167" t="str">
        <f t="shared" si="10"/>
        <v>S1_PID_7F_EngineRunTime</v>
      </c>
      <c r="J167" t="s">
        <v>876</v>
      </c>
      <c r="K167" t="s">
        <v>623</v>
      </c>
      <c r="R167" t="s">
        <v>61</v>
      </c>
      <c r="V167" t="str">
        <f t="shared" si="11"/>
        <v>seconds</v>
      </c>
    </row>
    <row r="168" spans="1:22" x14ac:dyDescent="0.25">
      <c r="A168" t="s">
        <v>720</v>
      </c>
      <c r="B168">
        <v>128</v>
      </c>
      <c r="C168">
        <v>80</v>
      </c>
      <c r="D168" t="str">
        <f t="shared" si="8"/>
        <v>80</v>
      </c>
      <c r="E168" t="s">
        <v>791</v>
      </c>
      <c r="F168" t="str">
        <f t="shared" si="9"/>
        <v>0201805555555555</v>
      </c>
      <c r="G168" t="s">
        <v>1042</v>
      </c>
      <c r="H168" t="s">
        <v>624</v>
      </c>
      <c r="I168" t="str">
        <f t="shared" si="10"/>
        <v>S1_PID_80_PIDsSupported_81_A0</v>
      </c>
      <c r="J168" t="s">
        <v>153</v>
      </c>
      <c r="K168" t="s">
        <v>625</v>
      </c>
      <c r="L168">
        <v>31</v>
      </c>
      <c r="M168">
        <v>32</v>
      </c>
      <c r="N168">
        <v>1</v>
      </c>
      <c r="O168">
        <v>0</v>
      </c>
      <c r="R168" t="s">
        <v>237</v>
      </c>
      <c r="S168">
        <v>1</v>
      </c>
      <c r="U168" t="s">
        <v>238</v>
      </c>
      <c r="V168" t="str">
        <f t="shared" si="11"/>
        <v>Encoded</v>
      </c>
    </row>
    <row r="169" spans="1:22" x14ac:dyDescent="0.25">
      <c r="A169" t="s">
        <v>720</v>
      </c>
      <c r="B169">
        <v>129</v>
      </c>
      <c r="C169">
        <v>81</v>
      </c>
      <c r="D169" t="str">
        <f t="shared" si="8"/>
        <v>81</v>
      </c>
      <c r="E169" t="s">
        <v>792</v>
      </c>
      <c r="F169" t="str">
        <f t="shared" si="9"/>
        <v>0201815555555555</v>
      </c>
      <c r="G169" t="s">
        <v>1043</v>
      </c>
      <c r="H169" t="s">
        <v>626</v>
      </c>
      <c r="I169" t="str">
        <f t="shared" si="10"/>
        <v>S1_PID_81_EngineRunTime_AECD</v>
      </c>
      <c r="J169" t="s">
        <v>877</v>
      </c>
      <c r="K169" t="s">
        <v>627</v>
      </c>
      <c r="V169" t="str">
        <f t="shared" si="11"/>
        <v>N/A</v>
      </c>
    </row>
    <row r="170" spans="1:22" x14ac:dyDescent="0.25">
      <c r="A170" t="s">
        <v>720</v>
      </c>
      <c r="B170">
        <v>130</v>
      </c>
      <c r="C170">
        <v>82</v>
      </c>
      <c r="D170" t="str">
        <f t="shared" si="8"/>
        <v>82</v>
      </c>
      <c r="E170" t="s">
        <v>793</v>
      </c>
      <c r="F170" t="str">
        <f t="shared" si="9"/>
        <v>0201825555555555</v>
      </c>
      <c r="G170" t="s">
        <v>1044</v>
      </c>
      <c r="H170" t="s">
        <v>626</v>
      </c>
      <c r="I170" t="str">
        <f t="shared" si="10"/>
        <v>S1_PID_82_EngineRunTime_AECD</v>
      </c>
      <c r="J170" t="s">
        <v>878</v>
      </c>
      <c r="K170" t="s">
        <v>627</v>
      </c>
      <c r="V170" t="str">
        <f t="shared" si="11"/>
        <v>N/A</v>
      </c>
    </row>
    <row r="171" spans="1:22" x14ac:dyDescent="0.25">
      <c r="A171" t="s">
        <v>720</v>
      </c>
      <c r="B171">
        <v>131</v>
      </c>
      <c r="C171">
        <v>83</v>
      </c>
      <c r="D171" t="str">
        <f t="shared" si="8"/>
        <v>83</v>
      </c>
      <c r="E171" t="s">
        <v>794</v>
      </c>
      <c r="F171" t="str">
        <f t="shared" si="9"/>
        <v>0201835555555555</v>
      </c>
      <c r="G171" t="s">
        <v>1045</v>
      </c>
      <c r="H171" t="s">
        <v>628</v>
      </c>
      <c r="I171" t="str">
        <f t="shared" si="10"/>
        <v>S1_PID_83_NOxSensor</v>
      </c>
      <c r="J171" t="s">
        <v>879</v>
      </c>
      <c r="K171" t="s">
        <v>629</v>
      </c>
      <c r="V171" t="str">
        <f t="shared" si="11"/>
        <v>N/A</v>
      </c>
    </row>
    <row r="172" spans="1:22" x14ac:dyDescent="0.25">
      <c r="A172" t="s">
        <v>720</v>
      </c>
      <c r="B172">
        <v>132</v>
      </c>
      <c r="C172">
        <v>84</v>
      </c>
      <c r="D172" t="str">
        <f t="shared" si="8"/>
        <v>84</v>
      </c>
      <c r="E172" t="s">
        <v>795</v>
      </c>
      <c r="F172" t="str">
        <f t="shared" si="9"/>
        <v>0201845555555555</v>
      </c>
      <c r="G172" t="s">
        <v>1046</v>
      </c>
      <c r="H172" t="s">
        <v>630</v>
      </c>
      <c r="I172" t="str">
        <f t="shared" si="10"/>
        <v>S1_PID_84_ManifoldSurfaceTemperature</v>
      </c>
      <c r="J172" t="s">
        <v>880</v>
      </c>
      <c r="K172" t="s">
        <v>631</v>
      </c>
      <c r="V172" t="str">
        <f t="shared" si="11"/>
        <v>N/A</v>
      </c>
    </row>
    <row r="173" spans="1:22" x14ac:dyDescent="0.25">
      <c r="A173" t="s">
        <v>720</v>
      </c>
      <c r="B173">
        <v>133</v>
      </c>
      <c r="C173">
        <v>85</v>
      </c>
      <c r="D173" t="str">
        <f t="shared" si="8"/>
        <v>85</v>
      </c>
      <c r="E173" t="s">
        <v>796</v>
      </c>
      <c r="F173" t="str">
        <f t="shared" si="9"/>
        <v>0201855555555555</v>
      </c>
      <c r="G173" t="s">
        <v>1047</v>
      </c>
      <c r="H173" t="s">
        <v>632</v>
      </c>
      <c r="I173" t="str">
        <f t="shared" si="10"/>
        <v>S1_PID_85_NOxReagentSystem</v>
      </c>
      <c r="J173" t="s">
        <v>881</v>
      </c>
      <c r="K173" t="s">
        <v>633</v>
      </c>
      <c r="V173" t="str">
        <f t="shared" si="11"/>
        <v>N/A</v>
      </c>
    </row>
    <row r="174" spans="1:22" x14ac:dyDescent="0.25">
      <c r="A174" t="s">
        <v>720</v>
      </c>
      <c r="B174">
        <v>134</v>
      </c>
      <c r="C174">
        <v>86</v>
      </c>
      <c r="D174" t="str">
        <f t="shared" si="8"/>
        <v>86</v>
      </c>
      <c r="E174" t="s">
        <v>797</v>
      </c>
      <c r="F174" t="str">
        <f t="shared" si="9"/>
        <v>0201865555555555</v>
      </c>
      <c r="G174" t="s">
        <v>1048</v>
      </c>
      <c r="H174" t="s">
        <v>634</v>
      </c>
      <c r="I174" t="str">
        <f t="shared" si="10"/>
        <v>S1_PID_86_PM_Sensor</v>
      </c>
      <c r="J174" t="s">
        <v>882</v>
      </c>
      <c r="K174" t="s">
        <v>635</v>
      </c>
      <c r="V174" t="str">
        <f t="shared" si="11"/>
        <v>N/A</v>
      </c>
    </row>
    <row r="175" spans="1:22" x14ac:dyDescent="0.25">
      <c r="A175" t="s">
        <v>720</v>
      </c>
      <c r="B175">
        <v>135</v>
      </c>
      <c r="C175">
        <v>87</v>
      </c>
      <c r="D175" t="str">
        <f t="shared" si="8"/>
        <v>87</v>
      </c>
      <c r="E175" t="s">
        <v>798</v>
      </c>
      <c r="F175" t="str">
        <f t="shared" si="9"/>
        <v>0201875555555555</v>
      </c>
      <c r="G175" t="s">
        <v>1049</v>
      </c>
      <c r="H175" t="s">
        <v>636</v>
      </c>
      <c r="I175" t="str">
        <f t="shared" si="10"/>
        <v>S1_PID_87_IntakeManifoldAbsolutePressure</v>
      </c>
      <c r="J175" t="s">
        <v>883</v>
      </c>
      <c r="K175" t="s">
        <v>269</v>
      </c>
      <c r="V175" t="str">
        <f t="shared" si="11"/>
        <v>N/A</v>
      </c>
    </row>
    <row r="176" spans="1:22" x14ac:dyDescent="0.25">
      <c r="A176" t="s">
        <v>720</v>
      </c>
      <c r="B176">
        <v>136</v>
      </c>
      <c r="C176">
        <v>88</v>
      </c>
      <c r="D176" t="str">
        <f t="shared" si="8"/>
        <v>88</v>
      </c>
      <c r="E176" t="s">
        <v>799</v>
      </c>
      <c r="F176" t="str">
        <f t="shared" si="9"/>
        <v>0201885555555555</v>
      </c>
      <c r="G176" t="s">
        <v>1050</v>
      </c>
      <c r="H176" t="s">
        <v>637</v>
      </c>
      <c r="I176" t="str">
        <f t="shared" si="10"/>
        <v>S1_PID_88_SCR_InduceSystem</v>
      </c>
      <c r="J176" t="s">
        <v>884</v>
      </c>
      <c r="K176" t="s">
        <v>638</v>
      </c>
      <c r="V176" t="str">
        <f t="shared" si="11"/>
        <v>N/A</v>
      </c>
    </row>
    <row r="177" spans="1:22" x14ac:dyDescent="0.25">
      <c r="A177" t="s">
        <v>720</v>
      </c>
      <c r="B177">
        <v>137</v>
      </c>
      <c r="C177">
        <v>89</v>
      </c>
      <c r="D177" t="str">
        <f t="shared" si="8"/>
        <v>89</v>
      </c>
      <c r="E177" t="s">
        <v>800</v>
      </c>
      <c r="F177" t="str">
        <f t="shared" si="9"/>
        <v>0201895555555555</v>
      </c>
      <c r="G177" t="s">
        <v>1051</v>
      </c>
      <c r="H177" t="s">
        <v>639</v>
      </c>
      <c r="I177" t="str">
        <f t="shared" si="10"/>
        <v>S1_PID_89_RunTimeForAECD_11_15</v>
      </c>
      <c r="J177" t="s">
        <v>885</v>
      </c>
      <c r="K177" t="s">
        <v>640</v>
      </c>
      <c r="V177" t="str">
        <f t="shared" si="11"/>
        <v>N/A</v>
      </c>
    </row>
    <row r="178" spans="1:22" x14ac:dyDescent="0.25">
      <c r="A178" t="s">
        <v>720</v>
      </c>
      <c r="B178">
        <v>138</v>
      </c>
      <c r="C178" t="s">
        <v>641</v>
      </c>
      <c r="D178" t="str">
        <f t="shared" si="8"/>
        <v>8A</v>
      </c>
      <c r="E178" t="s">
        <v>641</v>
      </c>
      <c r="F178" t="str">
        <f t="shared" si="9"/>
        <v>02018A5555555555</v>
      </c>
      <c r="G178" t="s">
        <v>1052</v>
      </c>
      <c r="H178" t="s">
        <v>642</v>
      </c>
      <c r="I178" t="str">
        <f t="shared" si="10"/>
        <v>S1_PID_8A_RunTimeForAECD_16_20</v>
      </c>
      <c r="J178" t="s">
        <v>886</v>
      </c>
      <c r="K178" t="s">
        <v>643</v>
      </c>
      <c r="V178" t="str">
        <f t="shared" si="11"/>
        <v>N/A</v>
      </c>
    </row>
    <row r="179" spans="1:22" x14ac:dyDescent="0.25">
      <c r="A179" t="s">
        <v>720</v>
      </c>
      <c r="B179">
        <v>139</v>
      </c>
      <c r="C179" t="s">
        <v>644</v>
      </c>
      <c r="D179" t="str">
        <f t="shared" si="8"/>
        <v>8B</v>
      </c>
      <c r="E179" t="s">
        <v>644</v>
      </c>
      <c r="F179" t="str">
        <f t="shared" si="9"/>
        <v>02018B5555555555</v>
      </c>
      <c r="G179" t="s">
        <v>1053</v>
      </c>
      <c r="H179" t="s">
        <v>645</v>
      </c>
      <c r="I179" t="str">
        <f t="shared" si="10"/>
        <v>S1_PID_8B_DieselAftertreatment</v>
      </c>
      <c r="J179" t="s">
        <v>887</v>
      </c>
      <c r="K179" t="s">
        <v>646</v>
      </c>
      <c r="V179" t="str">
        <f t="shared" si="11"/>
        <v>N/A</v>
      </c>
    </row>
    <row r="180" spans="1:22" x14ac:dyDescent="0.25">
      <c r="A180" t="s">
        <v>720</v>
      </c>
      <c r="B180">
        <v>140</v>
      </c>
      <c r="C180" t="s">
        <v>647</v>
      </c>
      <c r="D180" t="str">
        <f t="shared" si="8"/>
        <v>8C</v>
      </c>
      <c r="E180" t="s">
        <v>647</v>
      </c>
      <c r="F180" t="str">
        <f t="shared" si="9"/>
        <v>02018C5555555555</v>
      </c>
      <c r="G180" t="s">
        <v>1054</v>
      </c>
      <c r="H180" t="s">
        <v>648</v>
      </c>
      <c r="I180" t="str">
        <f t="shared" si="10"/>
        <v>S1_PID_8C_O2Sensor_WideRange</v>
      </c>
      <c r="J180" t="s">
        <v>888</v>
      </c>
      <c r="K180" t="s">
        <v>649</v>
      </c>
      <c r="V180" t="str">
        <f t="shared" si="11"/>
        <v>N/A</v>
      </c>
    </row>
    <row r="181" spans="1:22" x14ac:dyDescent="0.25">
      <c r="A181" t="s">
        <v>720</v>
      </c>
      <c r="B181">
        <v>141</v>
      </c>
      <c r="C181" t="s">
        <v>650</v>
      </c>
      <c r="D181" t="str">
        <f t="shared" si="8"/>
        <v>8D</v>
      </c>
      <c r="E181" t="s">
        <v>650</v>
      </c>
      <c r="F181" t="str">
        <f t="shared" si="9"/>
        <v>02018D5555555555</v>
      </c>
      <c r="G181" t="s">
        <v>1055</v>
      </c>
      <c r="H181" t="s">
        <v>651</v>
      </c>
      <c r="I181" t="str">
        <f t="shared" si="10"/>
        <v>S1_PID_8D_ThrottlePositionG</v>
      </c>
      <c r="J181" t="s">
        <v>889</v>
      </c>
      <c r="K181" t="s">
        <v>652</v>
      </c>
      <c r="L181">
        <v>31</v>
      </c>
      <c r="M181">
        <v>8</v>
      </c>
      <c r="N181">
        <v>0.3921568627</v>
      </c>
      <c r="O181">
        <v>0</v>
      </c>
      <c r="P181">
        <v>0</v>
      </c>
      <c r="Q181">
        <v>100</v>
      </c>
      <c r="R181" t="s">
        <v>29</v>
      </c>
      <c r="S181" t="s">
        <v>248</v>
      </c>
      <c r="T181" t="s">
        <v>249</v>
      </c>
      <c r="U181" t="s">
        <v>250</v>
      </c>
      <c r="V181" t="str">
        <f t="shared" si="11"/>
        <v>%</v>
      </c>
    </row>
    <row r="182" spans="1:22" x14ac:dyDescent="0.25">
      <c r="A182" t="s">
        <v>720</v>
      </c>
      <c r="B182">
        <v>142</v>
      </c>
      <c r="C182" t="s">
        <v>653</v>
      </c>
      <c r="D182" t="str">
        <f t="shared" si="8"/>
        <v>8E</v>
      </c>
      <c r="E182" t="s">
        <v>653</v>
      </c>
      <c r="F182" t="str">
        <f t="shared" si="9"/>
        <v>02018E5555555555</v>
      </c>
      <c r="G182" t="s">
        <v>1056</v>
      </c>
      <c r="H182" t="s">
        <v>654</v>
      </c>
      <c r="I182" t="str">
        <f t="shared" si="10"/>
        <v>S1_PID_8E_EngineFrictionPercentTorque</v>
      </c>
      <c r="J182" t="s">
        <v>890</v>
      </c>
      <c r="K182" t="s">
        <v>655</v>
      </c>
      <c r="L182">
        <v>31</v>
      </c>
      <c r="M182">
        <v>8</v>
      </c>
      <c r="N182">
        <v>1</v>
      </c>
      <c r="O182">
        <v>-125</v>
      </c>
      <c r="P182">
        <v>-125</v>
      </c>
      <c r="Q182">
        <v>130</v>
      </c>
      <c r="R182" t="s">
        <v>29</v>
      </c>
      <c r="S182">
        <v>1</v>
      </c>
      <c r="T182" t="s">
        <v>534</v>
      </c>
      <c r="U182" t="s">
        <v>250</v>
      </c>
      <c r="V182" t="str">
        <f t="shared" si="11"/>
        <v>%</v>
      </c>
    </row>
    <row r="183" spans="1:22" x14ac:dyDescent="0.25">
      <c r="A183" t="s">
        <v>720</v>
      </c>
      <c r="B183">
        <v>143</v>
      </c>
      <c r="C183" t="s">
        <v>656</v>
      </c>
      <c r="D183" t="str">
        <f t="shared" si="8"/>
        <v>8F</v>
      </c>
      <c r="E183" t="s">
        <v>656</v>
      </c>
      <c r="F183" t="str">
        <f t="shared" si="9"/>
        <v>02018F5555555555</v>
      </c>
      <c r="G183" t="s">
        <v>1057</v>
      </c>
      <c r="H183" t="s">
        <v>657</v>
      </c>
      <c r="I183" t="str">
        <f t="shared" si="10"/>
        <v>S1_PID_8F_PMSensorBank1_2</v>
      </c>
      <c r="J183" t="s">
        <v>891</v>
      </c>
      <c r="K183" t="s">
        <v>658</v>
      </c>
      <c r="V183" t="str">
        <f t="shared" si="11"/>
        <v>N/A</v>
      </c>
    </row>
    <row r="184" spans="1:22" x14ac:dyDescent="0.25">
      <c r="A184" t="s">
        <v>720</v>
      </c>
      <c r="B184">
        <v>144</v>
      </c>
      <c r="C184">
        <v>90</v>
      </c>
      <c r="D184" t="str">
        <f t="shared" si="8"/>
        <v>90</v>
      </c>
      <c r="E184" t="s">
        <v>801</v>
      </c>
      <c r="F184" t="str">
        <f t="shared" si="9"/>
        <v>0201905555555555</v>
      </c>
      <c r="G184" t="s">
        <v>1058</v>
      </c>
      <c r="H184" t="s">
        <v>659</v>
      </c>
      <c r="I184" t="str">
        <f t="shared" si="10"/>
        <v>S1_PID_90_WWH_OBD_SysInfo</v>
      </c>
      <c r="J184" t="s">
        <v>892</v>
      </c>
      <c r="K184" t="s">
        <v>660</v>
      </c>
      <c r="R184" t="s">
        <v>661</v>
      </c>
      <c r="V184" t="str">
        <f t="shared" si="11"/>
        <v>hours</v>
      </c>
    </row>
    <row r="185" spans="1:22" x14ac:dyDescent="0.25">
      <c r="A185" t="s">
        <v>720</v>
      </c>
      <c r="B185">
        <v>145</v>
      </c>
      <c r="C185">
        <v>91</v>
      </c>
      <c r="D185" t="str">
        <f t="shared" si="8"/>
        <v>91</v>
      </c>
      <c r="E185" t="s">
        <v>802</v>
      </c>
      <c r="F185" t="str">
        <f t="shared" si="9"/>
        <v>0201915555555555</v>
      </c>
      <c r="G185" t="s">
        <v>1059</v>
      </c>
      <c r="H185" t="s">
        <v>659</v>
      </c>
      <c r="I185" t="str">
        <f t="shared" si="10"/>
        <v>S1_PID_91_WWH_OBD_SysInfo</v>
      </c>
      <c r="J185" t="s">
        <v>893</v>
      </c>
      <c r="K185" t="s">
        <v>660</v>
      </c>
      <c r="R185" t="s">
        <v>661</v>
      </c>
      <c r="V185" t="str">
        <f t="shared" si="11"/>
        <v>hours</v>
      </c>
    </row>
    <row r="186" spans="1:22" x14ac:dyDescent="0.25">
      <c r="A186" t="s">
        <v>720</v>
      </c>
      <c r="B186">
        <v>146</v>
      </c>
      <c r="C186">
        <v>92</v>
      </c>
      <c r="D186" t="str">
        <f t="shared" si="8"/>
        <v>92</v>
      </c>
      <c r="E186" t="s">
        <v>803</v>
      </c>
      <c r="F186" t="str">
        <f t="shared" si="9"/>
        <v>0201925555555555</v>
      </c>
      <c r="G186" t="s">
        <v>1060</v>
      </c>
      <c r="H186" t="s">
        <v>662</v>
      </c>
      <c r="I186" t="str">
        <f t="shared" si="10"/>
        <v>S1_PID_92_FuelSystemControl</v>
      </c>
      <c r="J186" t="s">
        <v>894</v>
      </c>
      <c r="K186" t="s">
        <v>663</v>
      </c>
      <c r="V186" t="str">
        <f t="shared" si="11"/>
        <v>N/A</v>
      </c>
    </row>
    <row r="187" spans="1:22" x14ac:dyDescent="0.25">
      <c r="A187" t="s">
        <v>720</v>
      </c>
      <c r="B187">
        <v>147</v>
      </c>
      <c r="C187">
        <v>93</v>
      </c>
      <c r="D187" t="str">
        <f t="shared" si="8"/>
        <v>93</v>
      </c>
      <c r="E187" t="s">
        <v>804</v>
      </c>
      <c r="F187" t="str">
        <f t="shared" si="9"/>
        <v>0201935555555555</v>
      </c>
      <c r="G187" t="s">
        <v>1061</v>
      </c>
      <c r="H187" t="s">
        <v>664</v>
      </c>
      <c r="I187" t="str">
        <f t="shared" si="10"/>
        <v>S1_PID_93_WWH_OBD_CtrSupport</v>
      </c>
      <c r="J187" t="s">
        <v>895</v>
      </c>
      <c r="K187" t="s">
        <v>665</v>
      </c>
      <c r="R187" t="s">
        <v>661</v>
      </c>
      <c r="V187" t="str">
        <f t="shared" si="11"/>
        <v>hours</v>
      </c>
    </row>
    <row r="188" spans="1:22" x14ac:dyDescent="0.25">
      <c r="A188" t="s">
        <v>720</v>
      </c>
      <c r="B188">
        <v>148</v>
      </c>
      <c r="C188">
        <v>94</v>
      </c>
      <c r="D188" t="str">
        <f t="shared" si="8"/>
        <v>94</v>
      </c>
      <c r="E188" t="s">
        <v>805</v>
      </c>
      <c r="F188" t="str">
        <f t="shared" si="9"/>
        <v>0201945555555555</v>
      </c>
      <c r="G188" t="s">
        <v>1062</v>
      </c>
      <c r="H188" t="s">
        <v>666</v>
      </c>
      <c r="I188" t="str">
        <f t="shared" si="10"/>
        <v>S1_PID_94_NOxWarningInducementSys</v>
      </c>
      <c r="J188" t="s">
        <v>896</v>
      </c>
      <c r="K188" t="s">
        <v>667</v>
      </c>
      <c r="V188" t="str">
        <f t="shared" si="11"/>
        <v>N/A</v>
      </c>
    </row>
    <row r="189" spans="1:22" x14ac:dyDescent="0.25">
      <c r="A189" t="s">
        <v>720</v>
      </c>
      <c r="B189">
        <v>152</v>
      </c>
      <c r="C189">
        <v>98</v>
      </c>
      <c r="D189" t="str">
        <f t="shared" si="8"/>
        <v>98</v>
      </c>
      <c r="E189" t="s">
        <v>806</v>
      </c>
      <c r="F189" t="str">
        <f t="shared" si="9"/>
        <v>0201985555555555</v>
      </c>
      <c r="G189" t="s">
        <v>1063</v>
      </c>
      <c r="H189" t="s">
        <v>668</v>
      </c>
      <c r="I189" t="str">
        <f t="shared" si="10"/>
        <v>S1_PID_98_EGT_Sensor</v>
      </c>
      <c r="J189" t="s">
        <v>897</v>
      </c>
      <c r="K189" t="s">
        <v>669</v>
      </c>
      <c r="V189" t="str">
        <f t="shared" si="11"/>
        <v>N/A</v>
      </c>
    </row>
    <row r="190" spans="1:22" x14ac:dyDescent="0.25">
      <c r="A190" t="s">
        <v>720</v>
      </c>
      <c r="B190">
        <v>153</v>
      </c>
      <c r="C190">
        <v>99</v>
      </c>
      <c r="D190" t="str">
        <f t="shared" si="8"/>
        <v>99</v>
      </c>
      <c r="E190" t="s">
        <v>807</v>
      </c>
      <c r="F190" t="str">
        <f t="shared" si="9"/>
        <v>0201995555555555</v>
      </c>
      <c r="G190" t="s">
        <v>1064</v>
      </c>
      <c r="H190" t="s">
        <v>668</v>
      </c>
      <c r="I190" t="str">
        <f t="shared" si="10"/>
        <v>S1_PID_99_EGT_Sensor</v>
      </c>
      <c r="J190" t="s">
        <v>898</v>
      </c>
      <c r="K190" t="s">
        <v>669</v>
      </c>
      <c r="V190" t="str">
        <f t="shared" si="11"/>
        <v>N/A</v>
      </c>
    </row>
    <row r="191" spans="1:22" x14ac:dyDescent="0.25">
      <c r="A191" t="s">
        <v>720</v>
      </c>
      <c r="B191">
        <v>154</v>
      </c>
      <c r="C191" t="s">
        <v>670</v>
      </c>
      <c r="D191" t="str">
        <f t="shared" si="8"/>
        <v>9A</v>
      </c>
      <c r="E191" t="s">
        <v>670</v>
      </c>
      <c r="F191" t="str">
        <f t="shared" si="9"/>
        <v>02019A5555555555</v>
      </c>
      <c r="G191" t="s">
        <v>1065</v>
      </c>
      <c r="H191" t="s">
        <v>671</v>
      </c>
      <c r="I191" t="str">
        <f t="shared" si="10"/>
        <v>S1_PID_9A_Hybrid_EV_System</v>
      </c>
      <c r="J191" t="s">
        <v>899</v>
      </c>
      <c r="K191" t="s">
        <v>672</v>
      </c>
      <c r="V191" t="str">
        <f t="shared" si="11"/>
        <v>N/A</v>
      </c>
    </row>
    <row r="192" spans="1:22" x14ac:dyDescent="0.25">
      <c r="A192" t="s">
        <v>720</v>
      </c>
      <c r="B192">
        <v>155</v>
      </c>
      <c r="C192" t="s">
        <v>673</v>
      </c>
      <c r="D192" t="str">
        <f t="shared" si="8"/>
        <v>9B</v>
      </c>
      <c r="E192" t="s">
        <v>673</v>
      </c>
      <c r="F192" t="str">
        <f t="shared" si="9"/>
        <v>02019B5555555555</v>
      </c>
      <c r="G192" t="s">
        <v>1066</v>
      </c>
      <c r="H192" t="s">
        <v>674</v>
      </c>
      <c r="I192" t="str">
        <f t="shared" si="10"/>
        <v>S1_PID_9B_DieselExhaustFluidSensorData</v>
      </c>
      <c r="J192" t="s">
        <v>900</v>
      </c>
      <c r="K192" t="s">
        <v>675</v>
      </c>
      <c r="V192" t="str">
        <f t="shared" si="11"/>
        <v>N/A</v>
      </c>
    </row>
    <row r="193" spans="1:22" x14ac:dyDescent="0.25">
      <c r="A193" t="s">
        <v>720</v>
      </c>
      <c r="B193">
        <v>156</v>
      </c>
      <c r="C193" t="s">
        <v>676</v>
      </c>
      <c r="D193" t="str">
        <f t="shared" si="8"/>
        <v>9C</v>
      </c>
      <c r="E193" t="s">
        <v>676</v>
      </c>
      <c r="F193" t="str">
        <f t="shared" si="9"/>
        <v>02019C5555555555</v>
      </c>
      <c r="G193" t="s">
        <v>1067</v>
      </c>
      <c r="H193" t="s">
        <v>677</v>
      </c>
      <c r="I193" t="str">
        <f t="shared" si="10"/>
        <v>S1_PID_9C_O2SensorData</v>
      </c>
      <c r="J193" t="s">
        <v>901</v>
      </c>
      <c r="K193" t="s">
        <v>678</v>
      </c>
      <c r="V193" t="str">
        <f t="shared" si="11"/>
        <v>N/A</v>
      </c>
    </row>
    <row r="194" spans="1:22" x14ac:dyDescent="0.25">
      <c r="A194" t="s">
        <v>720</v>
      </c>
      <c r="B194">
        <v>157</v>
      </c>
      <c r="C194" t="s">
        <v>679</v>
      </c>
      <c r="D194" t="str">
        <f t="shared" si="8"/>
        <v>9D</v>
      </c>
      <c r="E194" t="s">
        <v>679</v>
      </c>
      <c r="F194" t="str">
        <f t="shared" si="9"/>
        <v>02019D5555555555</v>
      </c>
      <c r="G194" t="s">
        <v>1068</v>
      </c>
      <c r="H194" t="s">
        <v>524</v>
      </c>
      <c r="I194" t="str">
        <f t="shared" si="10"/>
        <v>S1_PID_9D_EngineFuelRate</v>
      </c>
      <c r="J194" t="s">
        <v>902</v>
      </c>
      <c r="K194" t="s">
        <v>525</v>
      </c>
      <c r="R194" t="s">
        <v>117</v>
      </c>
      <c r="V194" t="str">
        <f t="shared" si="11"/>
        <v>g/s</v>
      </c>
    </row>
    <row r="195" spans="1:22" x14ac:dyDescent="0.25">
      <c r="A195" t="s">
        <v>720</v>
      </c>
      <c r="B195">
        <v>158</v>
      </c>
      <c r="C195" t="s">
        <v>680</v>
      </c>
      <c r="D195" t="str">
        <f t="shared" ref="D195:D206" si="12">DEC2HEX(B195,2)</f>
        <v>9E</v>
      </c>
      <c r="E195" t="s">
        <v>680</v>
      </c>
      <c r="F195" t="str">
        <f t="shared" ref="F195:G206" si="13">"0201"&amp;E195&amp;"5555555555"</f>
        <v>02019E5555555555</v>
      </c>
      <c r="G195" t="s">
        <v>1069</v>
      </c>
      <c r="H195" t="s">
        <v>681</v>
      </c>
      <c r="I195" t="str">
        <f t="shared" ref="I195:I206" si="14">A195&amp;"_PID_"&amp;E195&amp;"_"&amp;H195</f>
        <v>S1_PID_9E_EngineExhaustFlowRate</v>
      </c>
      <c r="J195" t="s">
        <v>903</v>
      </c>
      <c r="K195" t="s">
        <v>682</v>
      </c>
      <c r="R195" t="s">
        <v>683</v>
      </c>
      <c r="V195" t="str">
        <f t="shared" ref="V195:V206" si="15">IF(R195="","N/A",R195)</f>
        <v>kg/h</v>
      </c>
    </row>
    <row r="196" spans="1:22" x14ac:dyDescent="0.25">
      <c r="A196" t="s">
        <v>720</v>
      </c>
      <c r="B196">
        <v>159</v>
      </c>
      <c r="C196" t="s">
        <v>684</v>
      </c>
      <c r="D196" t="str">
        <f t="shared" si="12"/>
        <v>9F</v>
      </c>
      <c r="E196" t="s">
        <v>684</v>
      </c>
      <c r="F196" t="str">
        <f t="shared" si="13"/>
        <v>02019F5555555555</v>
      </c>
      <c r="G196" t="s">
        <v>1070</v>
      </c>
      <c r="H196" t="s">
        <v>685</v>
      </c>
      <c r="I196" t="str">
        <f t="shared" si="14"/>
        <v>S1_PID_9F_FuelSystemPercentageUse</v>
      </c>
      <c r="J196" t="s">
        <v>904</v>
      </c>
      <c r="K196" t="s">
        <v>686</v>
      </c>
      <c r="V196" t="str">
        <f t="shared" si="15"/>
        <v>N/A</v>
      </c>
    </row>
    <row r="197" spans="1:22" x14ac:dyDescent="0.25">
      <c r="A197" t="s">
        <v>720</v>
      </c>
      <c r="B197">
        <v>160</v>
      </c>
      <c r="C197" t="s">
        <v>687</v>
      </c>
      <c r="D197" t="str">
        <f t="shared" si="12"/>
        <v>A0</v>
      </c>
      <c r="E197" t="s">
        <v>687</v>
      </c>
      <c r="F197" t="str">
        <f t="shared" si="13"/>
        <v>0201A05555555555</v>
      </c>
      <c r="G197" t="s">
        <v>1071</v>
      </c>
      <c r="H197" t="s">
        <v>688</v>
      </c>
      <c r="I197" t="str">
        <f t="shared" si="14"/>
        <v>S1_PID_A0_PIDsSupported_A1_C0</v>
      </c>
      <c r="J197" t="s">
        <v>155</v>
      </c>
      <c r="K197" t="s">
        <v>689</v>
      </c>
      <c r="L197">
        <v>31</v>
      </c>
      <c r="M197">
        <v>32</v>
      </c>
      <c r="N197">
        <v>1</v>
      </c>
      <c r="O197">
        <v>0</v>
      </c>
      <c r="R197" t="s">
        <v>237</v>
      </c>
      <c r="S197">
        <v>1</v>
      </c>
      <c r="U197" t="s">
        <v>238</v>
      </c>
      <c r="V197" t="str">
        <f t="shared" si="15"/>
        <v>Encoded</v>
      </c>
    </row>
    <row r="198" spans="1:22" x14ac:dyDescent="0.25">
      <c r="A198" t="s">
        <v>720</v>
      </c>
      <c r="B198">
        <v>161</v>
      </c>
      <c r="C198" t="s">
        <v>690</v>
      </c>
      <c r="D198" t="str">
        <f t="shared" si="12"/>
        <v>A1</v>
      </c>
      <c r="E198" t="s">
        <v>690</v>
      </c>
      <c r="F198" t="str">
        <f t="shared" si="13"/>
        <v>0201A15555555555</v>
      </c>
      <c r="G198" t="s">
        <v>1072</v>
      </c>
      <c r="H198" t="s">
        <v>691</v>
      </c>
      <c r="I198" t="str">
        <f t="shared" si="14"/>
        <v>S1_PID_A1_NOxSensorCorrectedData</v>
      </c>
      <c r="J198" t="s">
        <v>905</v>
      </c>
      <c r="K198" t="s">
        <v>692</v>
      </c>
      <c r="R198" t="s">
        <v>693</v>
      </c>
      <c r="V198" t="str">
        <f t="shared" si="15"/>
        <v>ppm</v>
      </c>
    </row>
    <row r="199" spans="1:22" x14ac:dyDescent="0.25">
      <c r="A199" t="s">
        <v>720</v>
      </c>
      <c r="B199">
        <v>162</v>
      </c>
      <c r="C199" t="s">
        <v>694</v>
      </c>
      <c r="D199" t="str">
        <f t="shared" si="12"/>
        <v>A2</v>
      </c>
      <c r="E199" t="s">
        <v>694</v>
      </c>
      <c r="F199" t="str">
        <f t="shared" si="13"/>
        <v>0201A25555555555</v>
      </c>
      <c r="G199" t="s">
        <v>1073</v>
      </c>
      <c r="H199" t="s">
        <v>695</v>
      </c>
      <c r="I199" t="str">
        <f t="shared" si="14"/>
        <v>S1_PID_A2_CylinderFuelRate</v>
      </c>
      <c r="J199" t="s">
        <v>906</v>
      </c>
      <c r="K199" t="s">
        <v>696</v>
      </c>
      <c r="L199">
        <v>31</v>
      </c>
      <c r="M199">
        <v>16</v>
      </c>
      <c r="N199">
        <v>3.125E-2</v>
      </c>
      <c r="O199">
        <v>0</v>
      </c>
      <c r="P199">
        <v>0</v>
      </c>
      <c r="Q199">
        <v>2048</v>
      </c>
      <c r="R199" t="s">
        <v>697</v>
      </c>
      <c r="S199" t="s">
        <v>554</v>
      </c>
      <c r="T199" t="s">
        <v>555</v>
      </c>
      <c r="U199" t="s">
        <v>243</v>
      </c>
      <c r="V199" t="str">
        <f t="shared" si="15"/>
        <v>mg/stroke</v>
      </c>
    </row>
    <row r="200" spans="1:22" x14ac:dyDescent="0.25">
      <c r="A200" t="s">
        <v>720</v>
      </c>
      <c r="B200">
        <v>163</v>
      </c>
      <c r="C200" t="s">
        <v>698</v>
      </c>
      <c r="D200" t="str">
        <f t="shared" si="12"/>
        <v>A3</v>
      </c>
      <c r="E200" t="s">
        <v>698</v>
      </c>
      <c r="F200" t="str">
        <f t="shared" si="13"/>
        <v>0201A35555555555</v>
      </c>
      <c r="G200" t="s">
        <v>1074</v>
      </c>
      <c r="H200" t="s">
        <v>699</v>
      </c>
      <c r="I200" t="str">
        <f t="shared" si="14"/>
        <v>S1_PID_A3_EvapSystemVaporPressure</v>
      </c>
      <c r="J200" t="s">
        <v>907</v>
      </c>
      <c r="K200" t="s">
        <v>489</v>
      </c>
      <c r="V200" t="str">
        <f t="shared" si="15"/>
        <v>N/A</v>
      </c>
    </row>
    <row r="201" spans="1:22" x14ac:dyDescent="0.25">
      <c r="A201" t="s">
        <v>720</v>
      </c>
      <c r="B201">
        <v>164</v>
      </c>
      <c r="C201" t="s">
        <v>700</v>
      </c>
      <c r="D201" t="str">
        <f t="shared" si="12"/>
        <v>A4</v>
      </c>
      <c r="E201" t="s">
        <v>700</v>
      </c>
      <c r="F201" t="str">
        <f t="shared" si="13"/>
        <v>0201A45555555555</v>
      </c>
      <c r="G201" t="s">
        <v>1075</v>
      </c>
      <c r="H201" t="s">
        <v>701</v>
      </c>
      <c r="I201" t="str">
        <f t="shared" si="14"/>
        <v>S1_PID_A4_TransmissionActualGear</v>
      </c>
      <c r="J201" t="s">
        <v>908</v>
      </c>
      <c r="K201" t="s">
        <v>702</v>
      </c>
      <c r="L201">
        <v>47</v>
      </c>
      <c r="M201">
        <v>16</v>
      </c>
      <c r="N201">
        <v>1E-3</v>
      </c>
      <c r="O201">
        <v>0</v>
      </c>
      <c r="P201">
        <v>0</v>
      </c>
      <c r="Q201">
        <v>66</v>
      </c>
      <c r="R201" t="s">
        <v>68</v>
      </c>
      <c r="S201">
        <v>1E-3</v>
      </c>
      <c r="T201" t="s">
        <v>436</v>
      </c>
      <c r="U201" t="s">
        <v>358</v>
      </c>
      <c r="V201" t="str">
        <f t="shared" si="15"/>
        <v>ratio</v>
      </c>
    </row>
    <row r="202" spans="1:22" x14ac:dyDescent="0.25">
      <c r="A202" t="s">
        <v>720</v>
      </c>
      <c r="B202">
        <v>165</v>
      </c>
      <c r="C202" t="s">
        <v>703</v>
      </c>
      <c r="D202" t="str">
        <f t="shared" si="12"/>
        <v>A5</v>
      </c>
      <c r="E202" t="s">
        <v>703</v>
      </c>
      <c r="F202" t="str">
        <f t="shared" si="13"/>
        <v>0201A55555555555</v>
      </c>
      <c r="G202" t="s">
        <v>1076</v>
      </c>
      <c r="H202" t="s">
        <v>704</v>
      </c>
      <c r="I202" t="str">
        <f t="shared" si="14"/>
        <v>S1_PID_A5_ComDieselExhaustFluidDosing</v>
      </c>
      <c r="J202" t="s">
        <v>909</v>
      </c>
      <c r="K202" t="s">
        <v>705</v>
      </c>
      <c r="L202">
        <v>39</v>
      </c>
      <c r="M202">
        <v>8</v>
      </c>
      <c r="N202">
        <v>0.5</v>
      </c>
      <c r="O202">
        <v>0</v>
      </c>
      <c r="P202">
        <v>0</v>
      </c>
      <c r="Q202">
        <v>128</v>
      </c>
      <c r="R202" t="s">
        <v>29</v>
      </c>
      <c r="S202">
        <v>0.5</v>
      </c>
      <c r="T202" t="s">
        <v>706</v>
      </c>
      <c r="U202" t="s">
        <v>299</v>
      </c>
      <c r="V202" t="str">
        <f t="shared" si="15"/>
        <v>%</v>
      </c>
    </row>
    <row r="203" spans="1:22" x14ac:dyDescent="0.25">
      <c r="A203" t="s">
        <v>720</v>
      </c>
      <c r="B203">
        <v>166</v>
      </c>
      <c r="C203" t="s">
        <v>707</v>
      </c>
      <c r="D203" t="str">
        <f t="shared" si="12"/>
        <v>A6</v>
      </c>
      <c r="E203" t="s">
        <v>707</v>
      </c>
      <c r="F203" t="str">
        <f t="shared" si="13"/>
        <v>0201A65555555555</v>
      </c>
      <c r="G203" t="s">
        <v>1077</v>
      </c>
      <c r="H203" t="s">
        <v>708</v>
      </c>
      <c r="I203" t="str">
        <f t="shared" si="14"/>
        <v>S1_PID_A6_Odometer</v>
      </c>
      <c r="J203" t="s">
        <v>910</v>
      </c>
      <c r="K203" t="s">
        <v>708</v>
      </c>
      <c r="L203">
        <v>31</v>
      </c>
      <c r="M203">
        <v>32</v>
      </c>
      <c r="N203">
        <v>0.1</v>
      </c>
      <c r="O203">
        <v>0</v>
      </c>
      <c r="P203">
        <v>0</v>
      </c>
      <c r="Q203" s="3">
        <v>429000000</v>
      </c>
      <c r="R203" t="s">
        <v>64</v>
      </c>
      <c r="S203">
        <v>0.1</v>
      </c>
      <c r="T203" t="s">
        <v>709</v>
      </c>
      <c r="U203" t="s">
        <v>238</v>
      </c>
      <c r="V203" t="str">
        <f t="shared" si="15"/>
        <v>km</v>
      </c>
    </row>
    <row r="204" spans="1:22" x14ac:dyDescent="0.25">
      <c r="A204" t="s">
        <v>720</v>
      </c>
      <c r="B204">
        <v>167</v>
      </c>
      <c r="C204" t="s">
        <v>710</v>
      </c>
      <c r="D204" t="str">
        <f t="shared" si="12"/>
        <v>A7</v>
      </c>
      <c r="E204" t="s">
        <v>710</v>
      </c>
      <c r="F204" t="str">
        <f t="shared" si="13"/>
        <v>0201A75555555555</v>
      </c>
      <c r="G204" t="s">
        <v>1078</v>
      </c>
      <c r="H204" t="s">
        <v>711</v>
      </c>
      <c r="I204" t="str">
        <f t="shared" si="14"/>
        <v>S1_PID_A7_NOxSensorConc3_4</v>
      </c>
      <c r="J204" t="s">
        <v>911</v>
      </c>
      <c r="K204" t="s">
        <v>712</v>
      </c>
      <c r="V204" t="str">
        <f t="shared" si="15"/>
        <v>N/A</v>
      </c>
    </row>
    <row r="205" spans="1:22" x14ac:dyDescent="0.25">
      <c r="A205" t="s">
        <v>720</v>
      </c>
      <c r="B205">
        <v>168</v>
      </c>
      <c r="C205" t="s">
        <v>713</v>
      </c>
      <c r="D205" t="str">
        <f t="shared" si="12"/>
        <v>A8</v>
      </c>
      <c r="E205" t="s">
        <v>713</v>
      </c>
      <c r="F205" t="str">
        <f t="shared" si="13"/>
        <v>0201A85555555555</v>
      </c>
      <c r="G205" t="s">
        <v>1079</v>
      </c>
      <c r="H205" t="s">
        <v>714</v>
      </c>
      <c r="I205" t="str">
        <f t="shared" si="14"/>
        <v>S1_PID_A8_NOxSensorCorrectConc3_4</v>
      </c>
      <c r="J205" t="s">
        <v>912</v>
      </c>
      <c r="K205" t="s">
        <v>715</v>
      </c>
      <c r="V205" t="str">
        <f t="shared" si="15"/>
        <v>N/A</v>
      </c>
    </row>
    <row r="206" spans="1:22" x14ac:dyDescent="0.25">
      <c r="A206" t="s">
        <v>720</v>
      </c>
      <c r="B206">
        <v>192</v>
      </c>
      <c r="C206" t="s">
        <v>716</v>
      </c>
      <c r="D206" t="str">
        <f t="shared" si="12"/>
        <v>C0</v>
      </c>
      <c r="E206" t="s">
        <v>716</v>
      </c>
      <c r="F206" t="str">
        <f t="shared" si="13"/>
        <v>0201C05555555555</v>
      </c>
      <c r="G206" t="s">
        <v>1080</v>
      </c>
      <c r="H206" t="s">
        <v>717</v>
      </c>
      <c r="I206" t="str">
        <f t="shared" si="14"/>
        <v>S1_PID_C0_PIDsSupported_C1_E0</v>
      </c>
      <c r="J206" t="s">
        <v>156</v>
      </c>
      <c r="K206" t="s">
        <v>718</v>
      </c>
      <c r="L206">
        <v>31</v>
      </c>
      <c r="M206">
        <v>32</v>
      </c>
      <c r="N206">
        <v>1</v>
      </c>
      <c r="O206">
        <v>0</v>
      </c>
      <c r="R206" t="s">
        <v>237</v>
      </c>
      <c r="S206">
        <v>1</v>
      </c>
      <c r="U206" t="s">
        <v>238</v>
      </c>
      <c r="V206" t="str">
        <f t="shared" si="15"/>
        <v>Encoded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8330-D66F-419C-9FB4-4912AC76B72E}">
  <dimension ref="A1:N206"/>
  <sheetViews>
    <sheetView workbookViewId="0">
      <selection activeCell="D6" sqref="D6"/>
    </sheetView>
  </sheetViews>
  <sheetFormatPr defaultRowHeight="15" x14ac:dyDescent="0.25"/>
  <cols>
    <col min="3" max="3" width="31" bestFit="1" customWidth="1"/>
    <col min="4" max="4" width="36.7109375" bestFit="1" customWidth="1"/>
  </cols>
  <sheetData>
    <row r="1" spans="1:14" x14ac:dyDescent="0.25">
      <c r="A1" t="s">
        <v>222</v>
      </c>
      <c r="B1" t="s">
        <v>223</v>
      </c>
      <c r="C1" t="s">
        <v>224</v>
      </c>
      <c r="D1" t="s">
        <v>221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</row>
    <row r="2" spans="1:14" x14ac:dyDescent="0.25">
      <c r="A2">
        <v>0</v>
      </c>
      <c r="B2">
        <v>0</v>
      </c>
      <c r="C2" t="s">
        <v>235</v>
      </c>
      <c r="D2" t="s">
        <v>236</v>
      </c>
      <c r="E2">
        <v>31</v>
      </c>
      <c r="F2">
        <v>32</v>
      </c>
      <c r="G2">
        <v>1</v>
      </c>
      <c r="H2">
        <v>0</v>
      </c>
      <c r="K2" t="s">
        <v>237</v>
      </c>
      <c r="L2">
        <v>1</v>
      </c>
      <c r="N2" t="s">
        <v>238</v>
      </c>
    </row>
    <row r="3" spans="1:14" x14ac:dyDescent="0.25">
      <c r="A3">
        <v>1</v>
      </c>
      <c r="B3">
        <v>1</v>
      </c>
      <c r="C3" t="s">
        <v>239</v>
      </c>
      <c r="D3" t="s">
        <v>240</v>
      </c>
      <c r="E3">
        <v>31</v>
      </c>
      <c r="F3">
        <v>32</v>
      </c>
      <c r="G3">
        <v>1</v>
      </c>
      <c r="H3">
        <v>0</v>
      </c>
      <c r="K3" t="s">
        <v>237</v>
      </c>
      <c r="L3">
        <v>1</v>
      </c>
      <c r="N3" t="s">
        <v>238</v>
      </c>
    </row>
    <row r="4" spans="1:14" x14ac:dyDescent="0.25">
      <c r="A4">
        <v>2</v>
      </c>
      <c r="B4">
        <v>2</v>
      </c>
      <c r="C4" t="s">
        <v>241</v>
      </c>
      <c r="D4" t="s">
        <v>242</v>
      </c>
      <c r="E4">
        <v>31</v>
      </c>
      <c r="F4">
        <v>16</v>
      </c>
      <c r="G4">
        <v>1</v>
      </c>
      <c r="H4">
        <v>0</v>
      </c>
      <c r="K4" t="s">
        <v>237</v>
      </c>
      <c r="L4">
        <v>1</v>
      </c>
      <c r="N4" t="s">
        <v>243</v>
      </c>
    </row>
    <row r="5" spans="1:14" x14ac:dyDescent="0.25">
      <c r="A5">
        <v>3</v>
      </c>
      <c r="B5">
        <v>3</v>
      </c>
      <c r="C5" t="s">
        <v>244</v>
      </c>
      <c r="D5" t="s">
        <v>245</v>
      </c>
      <c r="E5">
        <v>31</v>
      </c>
      <c r="F5">
        <v>16</v>
      </c>
      <c r="G5">
        <v>1</v>
      </c>
      <c r="H5">
        <v>0</v>
      </c>
      <c r="K5" t="s">
        <v>237</v>
      </c>
      <c r="L5">
        <v>1</v>
      </c>
      <c r="N5" t="s">
        <v>243</v>
      </c>
    </row>
    <row r="6" spans="1:14" x14ac:dyDescent="0.25">
      <c r="A6">
        <v>4</v>
      </c>
      <c r="B6">
        <v>4</v>
      </c>
      <c r="C6" t="s">
        <v>246</v>
      </c>
      <c r="D6" t="s">
        <v>247</v>
      </c>
      <c r="E6">
        <v>31</v>
      </c>
      <c r="F6">
        <v>8</v>
      </c>
      <c r="G6">
        <v>0.3921568627</v>
      </c>
      <c r="H6">
        <v>0</v>
      </c>
      <c r="I6">
        <v>0</v>
      </c>
      <c r="J6">
        <v>100</v>
      </c>
      <c r="K6" t="s">
        <v>29</v>
      </c>
      <c r="L6" t="s">
        <v>248</v>
      </c>
      <c r="M6" t="s">
        <v>249</v>
      </c>
      <c r="N6" t="s">
        <v>250</v>
      </c>
    </row>
    <row r="7" spans="1:14" x14ac:dyDescent="0.25">
      <c r="A7">
        <v>5</v>
      </c>
      <c r="B7">
        <v>5</v>
      </c>
      <c r="C7" t="s">
        <v>251</v>
      </c>
      <c r="D7" t="s">
        <v>252</v>
      </c>
      <c r="E7">
        <v>31</v>
      </c>
      <c r="F7">
        <v>8</v>
      </c>
      <c r="G7">
        <v>1</v>
      </c>
      <c r="H7">
        <v>-40</v>
      </c>
      <c r="I7">
        <v>-40</v>
      </c>
      <c r="J7">
        <v>215</v>
      </c>
      <c r="K7" t="s">
        <v>31</v>
      </c>
      <c r="L7">
        <v>1</v>
      </c>
      <c r="M7" t="s">
        <v>253</v>
      </c>
      <c r="N7" t="s">
        <v>250</v>
      </c>
    </row>
    <row r="8" spans="1:14" x14ac:dyDescent="0.25">
      <c r="A8">
        <v>6</v>
      </c>
      <c r="B8">
        <v>6</v>
      </c>
      <c r="C8" t="s">
        <v>254</v>
      </c>
      <c r="D8" t="s">
        <v>255</v>
      </c>
      <c r="E8">
        <v>31</v>
      </c>
      <c r="F8">
        <v>8</v>
      </c>
      <c r="G8">
        <v>0.78125</v>
      </c>
      <c r="H8">
        <v>-100</v>
      </c>
      <c r="I8">
        <v>-100</v>
      </c>
      <c r="J8">
        <v>99</v>
      </c>
      <c r="K8" t="s">
        <v>29</v>
      </c>
      <c r="L8" t="s">
        <v>256</v>
      </c>
      <c r="M8" t="s">
        <v>257</v>
      </c>
      <c r="N8" t="s">
        <v>250</v>
      </c>
    </row>
    <row r="9" spans="1:14" x14ac:dyDescent="0.25">
      <c r="A9">
        <v>7</v>
      </c>
      <c r="B9">
        <v>7</v>
      </c>
      <c r="C9" t="s">
        <v>258</v>
      </c>
      <c r="D9" t="s">
        <v>259</v>
      </c>
      <c r="E9">
        <v>31</v>
      </c>
      <c r="F9">
        <v>8</v>
      </c>
      <c r="G9">
        <v>0.78125</v>
      </c>
      <c r="H9">
        <v>-100</v>
      </c>
      <c r="I9">
        <v>-100</v>
      </c>
      <c r="J9">
        <v>99</v>
      </c>
      <c r="K9" t="s">
        <v>29</v>
      </c>
      <c r="L9" t="s">
        <v>256</v>
      </c>
      <c r="M9" t="s">
        <v>257</v>
      </c>
      <c r="N9" t="s">
        <v>250</v>
      </c>
    </row>
    <row r="10" spans="1:14" x14ac:dyDescent="0.25">
      <c r="A10">
        <v>8</v>
      </c>
      <c r="B10">
        <v>8</v>
      </c>
      <c r="C10" t="s">
        <v>260</v>
      </c>
      <c r="D10" t="s">
        <v>261</v>
      </c>
      <c r="E10">
        <v>31</v>
      </c>
      <c r="F10">
        <v>8</v>
      </c>
      <c r="G10">
        <v>0.78125</v>
      </c>
      <c r="H10">
        <v>-100</v>
      </c>
      <c r="I10">
        <v>-100</v>
      </c>
      <c r="J10">
        <v>99</v>
      </c>
      <c r="K10" t="s">
        <v>29</v>
      </c>
      <c r="L10" t="s">
        <v>256</v>
      </c>
      <c r="M10" t="s">
        <v>257</v>
      </c>
      <c r="N10" t="s">
        <v>250</v>
      </c>
    </row>
    <row r="11" spans="1:14" x14ac:dyDescent="0.25">
      <c r="A11">
        <v>9</v>
      </c>
      <c r="B11">
        <v>9</v>
      </c>
      <c r="C11" t="s">
        <v>262</v>
      </c>
      <c r="D11" t="s">
        <v>263</v>
      </c>
      <c r="E11">
        <v>31</v>
      </c>
      <c r="F11">
        <v>8</v>
      </c>
      <c r="G11">
        <v>0.78125</v>
      </c>
      <c r="H11">
        <v>-100</v>
      </c>
      <c r="I11">
        <v>-100</v>
      </c>
      <c r="J11">
        <v>99</v>
      </c>
      <c r="K11" t="s">
        <v>29</v>
      </c>
      <c r="L11" t="s">
        <v>256</v>
      </c>
      <c r="M11" t="s">
        <v>257</v>
      </c>
      <c r="N11" t="s">
        <v>250</v>
      </c>
    </row>
    <row r="12" spans="1:14" x14ac:dyDescent="0.25">
      <c r="A12">
        <v>10</v>
      </c>
      <c r="B12" t="s">
        <v>204</v>
      </c>
      <c r="C12" t="s">
        <v>264</v>
      </c>
      <c r="D12" t="s">
        <v>265</v>
      </c>
      <c r="E12">
        <v>31</v>
      </c>
      <c r="F12">
        <v>8</v>
      </c>
      <c r="G12">
        <v>3</v>
      </c>
      <c r="H12">
        <v>0</v>
      </c>
      <c r="I12">
        <v>0</v>
      </c>
      <c r="J12">
        <v>765</v>
      </c>
      <c r="K12" t="s">
        <v>37</v>
      </c>
      <c r="L12">
        <v>3</v>
      </c>
      <c r="M12" t="s">
        <v>266</v>
      </c>
      <c r="N12" t="s">
        <v>250</v>
      </c>
    </row>
    <row r="13" spans="1:14" x14ac:dyDescent="0.25">
      <c r="A13">
        <v>11</v>
      </c>
      <c r="B13" t="s">
        <v>267</v>
      </c>
      <c r="C13" t="s">
        <v>268</v>
      </c>
      <c r="D13" t="s">
        <v>269</v>
      </c>
      <c r="E13">
        <v>31</v>
      </c>
      <c r="F13">
        <v>8</v>
      </c>
      <c r="G13">
        <v>1</v>
      </c>
      <c r="H13">
        <v>0</v>
      </c>
      <c r="I13">
        <v>0</v>
      </c>
      <c r="J13">
        <v>255</v>
      </c>
      <c r="K13" t="s">
        <v>37</v>
      </c>
      <c r="L13">
        <v>1</v>
      </c>
      <c r="M13" t="s">
        <v>270</v>
      </c>
      <c r="N13" t="s">
        <v>250</v>
      </c>
    </row>
    <row r="14" spans="1:14" x14ac:dyDescent="0.25">
      <c r="A14">
        <v>12</v>
      </c>
      <c r="B14" t="s">
        <v>271</v>
      </c>
      <c r="C14" t="s">
        <v>272</v>
      </c>
      <c r="D14" t="s">
        <v>273</v>
      </c>
      <c r="E14">
        <v>31</v>
      </c>
      <c r="F14">
        <v>16</v>
      </c>
      <c r="G14">
        <v>0.25</v>
      </c>
      <c r="H14">
        <v>0</v>
      </c>
      <c r="I14">
        <v>0</v>
      </c>
      <c r="J14">
        <v>16384</v>
      </c>
      <c r="K14" t="s">
        <v>40</v>
      </c>
      <c r="L14">
        <v>0.25</v>
      </c>
      <c r="M14" t="s">
        <v>274</v>
      </c>
      <c r="N14" t="s">
        <v>243</v>
      </c>
    </row>
    <row r="15" spans="1:14" x14ac:dyDescent="0.25">
      <c r="A15">
        <v>13</v>
      </c>
      <c r="B15" t="s">
        <v>275</v>
      </c>
      <c r="C15" t="s">
        <v>276</v>
      </c>
      <c r="D15" t="s">
        <v>277</v>
      </c>
      <c r="E15">
        <v>31</v>
      </c>
      <c r="F15">
        <v>8</v>
      </c>
      <c r="G15">
        <v>1</v>
      </c>
      <c r="H15">
        <v>0</v>
      </c>
      <c r="I15">
        <v>0</v>
      </c>
      <c r="J15">
        <v>255</v>
      </c>
      <c r="K15" t="s">
        <v>42</v>
      </c>
      <c r="L15">
        <v>1</v>
      </c>
      <c r="M15" t="s">
        <v>270</v>
      </c>
      <c r="N15" t="s">
        <v>250</v>
      </c>
    </row>
    <row r="16" spans="1:14" x14ac:dyDescent="0.25">
      <c r="A16">
        <v>14</v>
      </c>
      <c r="B16" t="s">
        <v>278</v>
      </c>
      <c r="C16" t="s">
        <v>279</v>
      </c>
      <c r="D16" t="s">
        <v>280</v>
      </c>
      <c r="E16">
        <v>31</v>
      </c>
      <c r="F16">
        <v>8</v>
      </c>
      <c r="G16">
        <v>0.5</v>
      </c>
      <c r="H16">
        <v>-64</v>
      </c>
      <c r="I16">
        <v>-64</v>
      </c>
      <c r="J16">
        <v>64</v>
      </c>
      <c r="K16" t="s">
        <v>131</v>
      </c>
      <c r="L16">
        <v>0.5</v>
      </c>
      <c r="M16" t="s">
        <v>281</v>
      </c>
      <c r="N16" t="s">
        <v>250</v>
      </c>
    </row>
    <row r="17" spans="1:14" x14ac:dyDescent="0.25">
      <c r="A17">
        <v>15</v>
      </c>
      <c r="B17" t="s">
        <v>282</v>
      </c>
      <c r="C17" t="s">
        <v>283</v>
      </c>
      <c r="D17" t="s">
        <v>284</v>
      </c>
      <c r="E17">
        <v>31</v>
      </c>
      <c r="F17">
        <v>8</v>
      </c>
      <c r="G17">
        <v>1</v>
      </c>
      <c r="H17">
        <v>-40</v>
      </c>
      <c r="I17">
        <v>-40</v>
      </c>
      <c r="J17">
        <v>215</v>
      </c>
      <c r="K17" t="s">
        <v>31</v>
      </c>
      <c r="L17">
        <v>1</v>
      </c>
      <c r="M17" t="s">
        <v>253</v>
      </c>
      <c r="N17" t="s">
        <v>250</v>
      </c>
    </row>
    <row r="18" spans="1:14" x14ac:dyDescent="0.25">
      <c r="A18">
        <v>16</v>
      </c>
      <c r="B18">
        <v>10</v>
      </c>
      <c r="C18" t="s">
        <v>285</v>
      </c>
      <c r="D18" t="s">
        <v>286</v>
      </c>
      <c r="E18">
        <v>31</v>
      </c>
      <c r="F18">
        <v>16</v>
      </c>
      <c r="G18">
        <v>0.01</v>
      </c>
      <c r="H18">
        <v>0</v>
      </c>
      <c r="I18">
        <v>0</v>
      </c>
      <c r="J18">
        <v>655</v>
      </c>
      <c r="K18" t="s">
        <v>47</v>
      </c>
      <c r="L18">
        <v>0.01</v>
      </c>
      <c r="M18" t="s">
        <v>287</v>
      </c>
      <c r="N18" t="s">
        <v>243</v>
      </c>
    </row>
    <row r="19" spans="1:14" x14ac:dyDescent="0.25">
      <c r="A19">
        <v>17</v>
      </c>
      <c r="B19">
        <v>11</v>
      </c>
      <c r="C19" t="s">
        <v>288</v>
      </c>
      <c r="D19" t="s">
        <v>289</v>
      </c>
      <c r="E19">
        <v>31</v>
      </c>
      <c r="F19">
        <v>8</v>
      </c>
      <c r="G19">
        <v>0.3921568627</v>
      </c>
      <c r="H19">
        <v>0</v>
      </c>
      <c r="I19">
        <v>0</v>
      </c>
      <c r="J19">
        <v>100</v>
      </c>
      <c r="K19" t="s">
        <v>29</v>
      </c>
      <c r="L19" t="s">
        <v>248</v>
      </c>
      <c r="M19" t="s">
        <v>249</v>
      </c>
      <c r="N19" t="s">
        <v>250</v>
      </c>
    </row>
    <row r="20" spans="1:14" x14ac:dyDescent="0.25">
      <c r="A20">
        <v>18</v>
      </c>
      <c r="B20">
        <v>12</v>
      </c>
      <c r="C20" t="s">
        <v>290</v>
      </c>
      <c r="D20" t="s">
        <v>291</v>
      </c>
      <c r="E20">
        <v>31</v>
      </c>
      <c r="F20">
        <v>8</v>
      </c>
      <c r="G20">
        <v>1</v>
      </c>
      <c r="H20">
        <v>0</v>
      </c>
      <c r="K20" t="s">
        <v>237</v>
      </c>
      <c r="L20">
        <v>1</v>
      </c>
      <c r="N20" t="s">
        <v>250</v>
      </c>
    </row>
    <row r="21" spans="1:14" x14ac:dyDescent="0.25">
      <c r="A21">
        <v>19</v>
      </c>
      <c r="B21">
        <v>13</v>
      </c>
      <c r="C21" t="s">
        <v>292</v>
      </c>
      <c r="D21" t="s">
        <v>293</v>
      </c>
    </row>
    <row r="22" spans="1:14" x14ac:dyDescent="0.25">
      <c r="A22">
        <v>20</v>
      </c>
      <c r="B22">
        <v>14</v>
      </c>
      <c r="C22" t="s">
        <v>294</v>
      </c>
      <c r="D22" t="s">
        <v>295</v>
      </c>
      <c r="E22">
        <v>31</v>
      </c>
      <c r="F22">
        <v>8</v>
      </c>
      <c r="G22">
        <v>5.0000000000000001E-3</v>
      </c>
      <c r="H22">
        <v>0</v>
      </c>
      <c r="I22">
        <v>0</v>
      </c>
      <c r="J22">
        <v>1</v>
      </c>
      <c r="K22" t="s">
        <v>51</v>
      </c>
      <c r="L22">
        <v>5.0000000000000001E-3</v>
      </c>
      <c r="M22" t="s">
        <v>296</v>
      </c>
      <c r="N22" t="s">
        <v>250</v>
      </c>
    </row>
    <row r="23" spans="1:14" x14ac:dyDescent="0.25">
      <c r="C23" t="s">
        <v>297</v>
      </c>
      <c r="D23" t="s">
        <v>298</v>
      </c>
      <c r="E23">
        <v>39</v>
      </c>
      <c r="F23">
        <v>8</v>
      </c>
      <c r="G23">
        <v>0.78125</v>
      </c>
      <c r="H23">
        <v>-100</v>
      </c>
      <c r="I23">
        <v>-100</v>
      </c>
      <c r="J23">
        <v>99</v>
      </c>
      <c r="K23" t="s">
        <v>29</v>
      </c>
      <c r="L23" t="s">
        <v>256</v>
      </c>
      <c r="M23" t="s">
        <v>257</v>
      </c>
      <c r="N23" t="s">
        <v>299</v>
      </c>
    </row>
    <row r="24" spans="1:14" x14ac:dyDescent="0.25">
      <c r="A24">
        <v>21</v>
      </c>
      <c r="B24">
        <v>15</v>
      </c>
      <c r="C24" t="s">
        <v>300</v>
      </c>
      <c r="D24" t="s">
        <v>301</v>
      </c>
      <c r="E24">
        <v>31</v>
      </c>
      <c r="F24">
        <v>8</v>
      </c>
      <c r="G24">
        <v>5.0000000000000001E-3</v>
      </c>
      <c r="H24">
        <v>0</v>
      </c>
      <c r="I24">
        <v>0</v>
      </c>
      <c r="J24">
        <v>1</v>
      </c>
      <c r="K24" t="s">
        <v>51</v>
      </c>
      <c r="L24">
        <v>5.0000000000000001E-3</v>
      </c>
      <c r="M24" t="s">
        <v>296</v>
      </c>
      <c r="N24" t="s">
        <v>250</v>
      </c>
    </row>
    <row r="25" spans="1:14" x14ac:dyDescent="0.25">
      <c r="C25" t="s">
        <v>302</v>
      </c>
      <c r="D25" t="s">
        <v>303</v>
      </c>
      <c r="E25">
        <v>39</v>
      </c>
      <c r="F25">
        <v>8</v>
      </c>
      <c r="G25">
        <v>0.78125</v>
      </c>
      <c r="H25">
        <v>-100</v>
      </c>
      <c r="I25">
        <v>-100</v>
      </c>
      <c r="J25">
        <v>99</v>
      </c>
      <c r="K25" t="s">
        <v>29</v>
      </c>
      <c r="L25" t="s">
        <v>256</v>
      </c>
      <c r="M25" t="s">
        <v>257</v>
      </c>
      <c r="N25" t="s">
        <v>299</v>
      </c>
    </row>
    <row r="26" spans="1:14" x14ac:dyDescent="0.25">
      <c r="A26">
        <v>22</v>
      </c>
      <c r="B26">
        <v>16</v>
      </c>
      <c r="C26" t="s">
        <v>304</v>
      </c>
      <c r="D26" t="s">
        <v>305</v>
      </c>
      <c r="E26">
        <v>31</v>
      </c>
      <c r="F26">
        <v>8</v>
      </c>
      <c r="G26">
        <v>5.0000000000000001E-3</v>
      </c>
      <c r="H26">
        <v>0</v>
      </c>
      <c r="I26">
        <v>0</v>
      </c>
      <c r="J26">
        <v>1</v>
      </c>
      <c r="K26" t="s">
        <v>51</v>
      </c>
      <c r="L26">
        <v>5.0000000000000001E-3</v>
      </c>
      <c r="M26" t="s">
        <v>296</v>
      </c>
      <c r="N26" t="s">
        <v>250</v>
      </c>
    </row>
    <row r="27" spans="1:14" x14ac:dyDescent="0.25">
      <c r="C27" t="s">
        <v>306</v>
      </c>
      <c r="D27" t="s">
        <v>307</v>
      </c>
      <c r="E27">
        <v>39</v>
      </c>
      <c r="F27">
        <v>8</v>
      </c>
      <c r="G27">
        <v>0.78125</v>
      </c>
      <c r="H27">
        <v>-100</v>
      </c>
      <c r="I27">
        <v>-100</v>
      </c>
      <c r="J27">
        <v>99</v>
      </c>
      <c r="K27" t="s">
        <v>29</v>
      </c>
      <c r="L27" t="s">
        <v>256</v>
      </c>
      <c r="M27" t="s">
        <v>257</v>
      </c>
      <c r="N27" t="s">
        <v>299</v>
      </c>
    </row>
    <row r="28" spans="1:14" x14ac:dyDescent="0.25">
      <c r="A28">
        <v>23</v>
      </c>
      <c r="B28">
        <v>17</v>
      </c>
      <c r="C28" t="s">
        <v>308</v>
      </c>
      <c r="D28" t="s">
        <v>309</v>
      </c>
      <c r="E28">
        <v>31</v>
      </c>
      <c r="F28">
        <v>8</v>
      </c>
      <c r="G28">
        <v>5.0000000000000001E-3</v>
      </c>
      <c r="H28">
        <v>0</v>
      </c>
      <c r="I28">
        <v>0</v>
      </c>
      <c r="J28">
        <v>1</v>
      </c>
      <c r="K28" t="s">
        <v>51</v>
      </c>
      <c r="L28">
        <v>5.0000000000000001E-3</v>
      </c>
      <c r="M28" t="s">
        <v>296</v>
      </c>
      <c r="N28" t="s">
        <v>250</v>
      </c>
    </row>
    <row r="29" spans="1:14" x14ac:dyDescent="0.25">
      <c r="C29" t="s">
        <v>310</v>
      </c>
      <c r="D29" t="s">
        <v>311</v>
      </c>
      <c r="E29">
        <v>39</v>
      </c>
      <c r="F29">
        <v>8</v>
      </c>
      <c r="G29">
        <v>0.78125</v>
      </c>
      <c r="H29">
        <v>-100</v>
      </c>
      <c r="I29">
        <v>-100</v>
      </c>
      <c r="J29">
        <v>99</v>
      </c>
      <c r="K29" t="s">
        <v>29</v>
      </c>
      <c r="L29" t="s">
        <v>256</v>
      </c>
      <c r="M29" t="s">
        <v>257</v>
      </c>
      <c r="N29" t="s">
        <v>299</v>
      </c>
    </row>
    <row r="30" spans="1:14" x14ac:dyDescent="0.25">
      <c r="A30">
        <v>24</v>
      </c>
      <c r="B30">
        <v>18</v>
      </c>
      <c r="C30" t="s">
        <v>312</v>
      </c>
      <c r="D30" t="s">
        <v>313</v>
      </c>
      <c r="E30">
        <v>31</v>
      </c>
      <c r="F30">
        <v>8</v>
      </c>
      <c r="G30">
        <v>5.0000000000000001E-3</v>
      </c>
      <c r="H30">
        <v>0</v>
      </c>
      <c r="I30">
        <v>0</v>
      </c>
      <c r="J30">
        <v>1</v>
      </c>
      <c r="K30" t="s">
        <v>51</v>
      </c>
      <c r="L30">
        <v>5.0000000000000001E-3</v>
      </c>
      <c r="M30" t="s">
        <v>296</v>
      </c>
      <c r="N30" t="s">
        <v>250</v>
      </c>
    </row>
    <row r="31" spans="1:14" x14ac:dyDescent="0.25">
      <c r="C31" t="s">
        <v>314</v>
      </c>
      <c r="D31" t="s">
        <v>315</v>
      </c>
      <c r="E31">
        <v>39</v>
      </c>
      <c r="F31">
        <v>8</v>
      </c>
      <c r="G31">
        <v>0.78125</v>
      </c>
      <c r="H31">
        <v>-100</v>
      </c>
      <c r="I31">
        <v>-100</v>
      </c>
      <c r="J31">
        <v>99</v>
      </c>
      <c r="K31" t="s">
        <v>29</v>
      </c>
      <c r="L31" t="s">
        <v>256</v>
      </c>
      <c r="M31" t="s">
        <v>257</v>
      </c>
      <c r="N31" t="s">
        <v>299</v>
      </c>
    </row>
    <row r="32" spans="1:14" x14ac:dyDescent="0.25">
      <c r="A32">
        <v>25</v>
      </c>
      <c r="B32">
        <v>19</v>
      </c>
      <c r="C32" t="s">
        <v>316</v>
      </c>
      <c r="D32" t="s">
        <v>317</v>
      </c>
      <c r="E32">
        <v>31</v>
      </c>
      <c r="F32">
        <v>8</v>
      </c>
      <c r="G32">
        <v>5.0000000000000001E-3</v>
      </c>
      <c r="H32">
        <v>0</v>
      </c>
      <c r="I32">
        <v>0</v>
      </c>
      <c r="J32">
        <v>1</v>
      </c>
      <c r="K32" t="s">
        <v>51</v>
      </c>
      <c r="L32">
        <v>5.0000000000000001E-3</v>
      </c>
      <c r="M32" t="s">
        <v>296</v>
      </c>
      <c r="N32" t="s">
        <v>250</v>
      </c>
    </row>
    <row r="33" spans="1:14" x14ac:dyDescent="0.25">
      <c r="C33" t="s">
        <v>318</v>
      </c>
      <c r="D33" t="s">
        <v>319</v>
      </c>
      <c r="E33">
        <v>39</v>
      </c>
      <c r="F33">
        <v>8</v>
      </c>
      <c r="G33">
        <v>0.78125</v>
      </c>
      <c r="H33">
        <v>-100</v>
      </c>
      <c r="I33">
        <v>-100</v>
      </c>
      <c r="J33">
        <v>99</v>
      </c>
      <c r="K33" t="s">
        <v>29</v>
      </c>
      <c r="L33" t="s">
        <v>256</v>
      </c>
      <c r="M33" t="s">
        <v>257</v>
      </c>
      <c r="N33" t="s">
        <v>299</v>
      </c>
    </row>
    <row r="34" spans="1:14" x14ac:dyDescent="0.25">
      <c r="A34">
        <v>26</v>
      </c>
      <c r="B34" t="s">
        <v>320</v>
      </c>
      <c r="C34" t="s">
        <v>321</v>
      </c>
      <c r="D34" t="s">
        <v>322</v>
      </c>
      <c r="E34">
        <v>31</v>
      </c>
      <c r="F34">
        <v>8</v>
      </c>
      <c r="G34">
        <v>5.0000000000000001E-3</v>
      </c>
      <c r="H34">
        <v>0</v>
      </c>
      <c r="I34">
        <v>0</v>
      </c>
      <c r="J34">
        <v>1</v>
      </c>
      <c r="K34" t="s">
        <v>51</v>
      </c>
      <c r="L34">
        <v>5.0000000000000001E-3</v>
      </c>
      <c r="M34" t="s">
        <v>296</v>
      </c>
      <c r="N34" t="s">
        <v>250</v>
      </c>
    </row>
    <row r="35" spans="1:14" x14ac:dyDescent="0.25">
      <c r="C35" t="s">
        <v>323</v>
      </c>
      <c r="D35" t="s">
        <v>324</v>
      </c>
      <c r="E35">
        <v>39</v>
      </c>
      <c r="F35">
        <v>8</v>
      </c>
      <c r="G35">
        <v>0.78125</v>
      </c>
      <c r="H35">
        <v>-100</v>
      </c>
      <c r="I35">
        <v>-100</v>
      </c>
      <c r="J35">
        <v>99</v>
      </c>
      <c r="K35" t="s">
        <v>29</v>
      </c>
      <c r="L35" t="s">
        <v>256</v>
      </c>
      <c r="M35" t="s">
        <v>257</v>
      </c>
      <c r="N35" t="s">
        <v>299</v>
      </c>
    </row>
    <row r="36" spans="1:14" x14ac:dyDescent="0.25">
      <c r="A36">
        <v>27</v>
      </c>
      <c r="B36" t="s">
        <v>325</v>
      </c>
      <c r="C36" t="s">
        <v>326</v>
      </c>
      <c r="D36" t="s">
        <v>327</v>
      </c>
      <c r="E36">
        <v>31</v>
      </c>
      <c r="F36">
        <v>8</v>
      </c>
      <c r="G36">
        <v>5.0000000000000001E-3</v>
      </c>
      <c r="H36">
        <v>0</v>
      </c>
      <c r="I36">
        <v>0</v>
      </c>
      <c r="J36">
        <v>1</v>
      </c>
      <c r="K36" t="s">
        <v>51</v>
      </c>
      <c r="L36">
        <v>5.0000000000000001E-3</v>
      </c>
      <c r="M36" t="s">
        <v>296</v>
      </c>
      <c r="N36" t="s">
        <v>250</v>
      </c>
    </row>
    <row r="37" spans="1:14" x14ac:dyDescent="0.25">
      <c r="C37" t="s">
        <v>328</v>
      </c>
      <c r="D37" t="s">
        <v>329</v>
      </c>
      <c r="E37">
        <v>39</v>
      </c>
      <c r="F37">
        <v>8</v>
      </c>
      <c r="G37">
        <v>0.78125</v>
      </c>
      <c r="H37">
        <v>-100</v>
      </c>
      <c r="I37">
        <v>-100</v>
      </c>
      <c r="J37">
        <v>99</v>
      </c>
      <c r="K37" t="s">
        <v>29</v>
      </c>
      <c r="L37" t="s">
        <v>256</v>
      </c>
      <c r="M37" t="s">
        <v>257</v>
      </c>
      <c r="N37" t="s">
        <v>299</v>
      </c>
    </row>
    <row r="38" spans="1:14" x14ac:dyDescent="0.25">
      <c r="A38">
        <v>28</v>
      </c>
      <c r="B38" t="s">
        <v>330</v>
      </c>
      <c r="C38" t="s">
        <v>331</v>
      </c>
      <c r="D38" t="s">
        <v>332</v>
      </c>
      <c r="E38">
        <v>31</v>
      </c>
      <c r="F38">
        <v>8</v>
      </c>
      <c r="G38">
        <v>1</v>
      </c>
      <c r="H38">
        <v>0</v>
      </c>
      <c r="K38" t="s">
        <v>237</v>
      </c>
      <c r="L38">
        <v>1</v>
      </c>
      <c r="N38" t="s">
        <v>250</v>
      </c>
    </row>
    <row r="39" spans="1:14" x14ac:dyDescent="0.25">
      <c r="A39">
        <v>29</v>
      </c>
      <c r="B39" t="s">
        <v>333</v>
      </c>
      <c r="C39" t="s">
        <v>334</v>
      </c>
      <c r="D39" t="s">
        <v>335</v>
      </c>
    </row>
    <row r="40" spans="1:14" x14ac:dyDescent="0.25">
      <c r="A40">
        <v>30</v>
      </c>
      <c r="B40" t="s">
        <v>336</v>
      </c>
      <c r="C40" t="s">
        <v>337</v>
      </c>
      <c r="D40" t="s">
        <v>338</v>
      </c>
    </row>
    <row r="41" spans="1:14" x14ac:dyDescent="0.25">
      <c r="A41">
        <v>31</v>
      </c>
      <c r="B41" t="s">
        <v>339</v>
      </c>
      <c r="C41" t="s">
        <v>340</v>
      </c>
      <c r="D41" t="s">
        <v>341</v>
      </c>
      <c r="E41">
        <v>31</v>
      </c>
      <c r="F41">
        <v>16</v>
      </c>
      <c r="G41">
        <v>1</v>
      </c>
      <c r="H41">
        <v>0</v>
      </c>
      <c r="I41">
        <v>0</v>
      </c>
      <c r="J41">
        <v>65535</v>
      </c>
      <c r="K41" t="s">
        <v>61</v>
      </c>
      <c r="L41">
        <v>1</v>
      </c>
      <c r="M41" t="s">
        <v>342</v>
      </c>
      <c r="N41" t="s">
        <v>243</v>
      </c>
    </row>
    <row r="42" spans="1:14" x14ac:dyDescent="0.25">
      <c r="A42">
        <v>32</v>
      </c>
      <c r="B42">
        <v>20</v>
      </c>
      <c r="C42" t="s">
        <v>343</v>
      </c>
      <c r="D42" t="s">
        <v>344</v>
      </c>
      <c r="E42">
        <v>31</v>
      </c>
      <c r="F42">
        <v>32</v>
      </c>
      <c r="G42">
        <v>1</v>
      </c>
      <c r="H42">
        <v>0</v>
      </c>
      <c r="K42" t="s">
        <v>237</v>
      </c>
      <c r="L42">
        <v>1</v>
      </c>
      <c r="N42" t="s">
        <v>238</v>
      </c>
    </row>
    <row r="43" spans="1:14" x14ac:dyDescent="0.25">
      <c r="A43">
        <v>33</v>
      </c>
      <c r="B43">
        <v>21</v>
      </c>
      <c r="C43" t="s">
        <v>345</v>
      </c>
      <c r="D43" t="s">
        <v>346</v>
      </c>
      <c r="E43">
        <v>31</v>
      </c>
      <c r="F43">
        <v>16</v>
      </c>
      <c r="G43">
        <v>1</v>
      </c>
      <c r="H43">
        <v>0</v>
      </c>
      <c r="I43">
        <v>0</v>
      </c>
      <c r="J43">
        <v>65535</v>
      </c>
      <c r="K43" t="s">
        <v>64</v>
      </c>
      <c r="L43">
        <v>1</v>
      </c>
      <c r="M43" t="s">
        <v>342</v>
      </c>
      <c r="N43" t="s">
        <v>243</v>
      </c>
    </row>
    <row r="44" spans="1:14" x14ac:dyDescent="0.25">
      <c r="A44">
        <v>34</v>
      </c>
      <c r="B44">
        <v>22</v>
      </c>
      <c r="C44" t="s">
        <v>347</v>
      </c>
      <c r="D44" t="s">
        <v>348</v>
      </c>
      <c r="E44">
        <v>31</v>
      </c>
      <c r="F44">
        <v>16</v>
      </c>
      <c r="G44">
        <v>7.9000000000000001E-2</v>
      </c>
      <c r="H44">
        <v>0</v>
      </c>
      <c r="I44">
        <v>0</v>
      </c>
      <c r="J44">
        <v>5177</v>
      </c>
      <c r="K44" t="s">
        <v>37</v>
      </c>
      <c r="L44">
        <v>7.9000000000000001E-2</v>
      </c>
      <c r="M44" t="s">
        <v>349</v>
      </c>
      <c r="N44" t="s">
        <v>243</v>
      </c>
    </row>
    <row r="45" spans="1:14" x14ac:dyDescent="0.25">
      <c r="A45">
        <v>35</v>
      </c>
      <c r="B45">
        <v>23</v>
      </c>
      <c r="C45" t="s">
        <v>350</v>
      </c>
      <c r="D45" t="s">
        <v>351</v>
      </c>
      <c r="E45">
        <v>31</v>
      </c>
      <c r="F45">
        <v>16</v>
      </c>
      <c r="G45">
        <v>10</v>
      </c>
      <c r="H45">
        <v>0</v>
      </c>
      <c r="I45">
        <v>0</v>
      </c>
      <c r="J45">
        <v>655350</v>
      </c>
      <c r="K45" t="s">
        <v>37</v>
      </c>
      <c r="L45">
        <v>10</v>
      </c>
      <c r="M45" t="s">
        <v>352</v>
      </c>
      <c r="N45" t="s">
        <v>243</v>
      </c>
    </row>
    <row r="46" spans="1:14" x14ac:dyDescent="0.25">
      <c r="A46">
        <v>36</v>
      </c>
      <c r="B46">
        <v>24</v>
      </c>
      <c r="C46" t="s">
        <v>353</v>
      </c>
      <c r="D46" t="s">
        <v>354</v>
      </c>
      <c r="E46">
        <v>31</v>
      </c>
      <c r="F46">
        <v>16</v>
      </c>
      <c r="G46">
        <v>3.0517578130000002E-5</v>
      </c>
      <c r="H46">
        <v>0</v>
      </c>
      <c r="I46">
        <v>0</v>
      </c>
      <c r="J46">
        <v>2</v>
      </c>
      <c r="K46" t="s">
        <v>68</v>
      </c>
      <c r="L46" t="s">
        <v>355</v>
      </c>
      <c r="M46" t="s">
        <v>356</v>
      </c>
      <c r="N46" t="s">
        <v>243</v>
      </c>
    </row>
    <row r="47" spans="1:14" x14ac:dyDescent="0.25">
      <c r="C47" t="s">
        <v>294</v>
      </c>
      <c r="D47" t="s">
        <v>295</v>
      </c>
      <c r="E47">
        <v>47</v>
      </c>
      <c r="F47">
        <v>16</v>
      </c>
      <c r="G47">
        <v>1.220703125E-4</v>
      </c>
      <c r="H47">
        <v>0</v>
      </c>
      <c r="I47">
        <v>0</v>
      </c>
      <c r="J47">
        <v>2</v>
      </c>
      <c r="K47" t="s">
        <v>51</v>
      </c>
      <c r="L47" t="s">
        <v>357</v>
      </c>
      <c r="M47" t="s">
        <v>356</v>
      </c>
      <c r="N47" t="s">
        <v>358</v>
      </c>
    </row>
    <row r="48" spans="1:14" x14ac:dyDescent="0.25">
      <c r="A48">
        <v>37</v>
      </c>
      <c r="B48">
        <v>25</v>
      </c>
      <c r="C48" t="s">
        <v>359</v>
      </c>
      <c r="D48" t="s">
        <v>360</v>
      </c>
      <c r="E48">
        <v>31</v>
      </c>
      <c r="F48">
        <v>16</v>
      </c>
      <c r="G48">
        <v>3.0517578130000002E-5</v>
      </c>
      <c r="H48">
        <v>0</v>
      </c>
      <c r="I48">
        <v>0</v>
      </c>
      <c r="J48">
        <v>2</v>
      </c>
      <c r="K48" t="s">
        <v>68</v>
      </c>
      <c r="L48" t="s">
        <v>355</v>
      </c>
      <c r="M48" t="s">
        <v>356</v>
      </c>
      <c r="N48" t="s">
        <v>243</v>
      </c>
    </row>
    <row r="49" spans="1:14" x14ac:dyDescent="0.25">
      <c r="C49" t="s">
        <v>300</v>
      </c>
      <c r="D49" t="s">
        <v>301</v>
      </c>
      <c r="E49">
        <v>47</v>
      </c>
      <c r="F49">
        <v>16</v>
      </c>
      <c r="G49">
        <v>1.220703125E-4</v>
      </c>
      <c r="H49">
        <v>0</v>
      </c>
      <c r="I49">
        <v>0</v>
      </c>
      <c r="J49">
        <v>8</v>
      </c>
      <c r="K49" t="s">
        <v>51</v>
      </c>
      <c r="L49" t="s">
        <v>357</v>
      </c>
      <c r="M49" t="s">
        <v>361</v>
      </c>
      <c r="N49" t="s">
        <v>358</v>
      </c>
    </row>
    <row r="50" spans="1:14" x14ac:dyDescent="0.25">
      <c r="A50">
        <v>38</v>
      </c>
      <c r="B50">
        <v>26</v>
      </c>
      <c r="C50" t="s">
        <v>362</v>
      </c>
      <c r="D50" t="s">
        <v>363</v>
      </c>
      <c r="E50">
        <v>31</v>
      </c>
      <c r="F50">
        <v>16</v>
      </c>
      <c r="G50">
        <v>3.0517578130000002E-5</v>
      </c>
      <c r="H50">
        <v>0</v>
      </c>
      <c r="I50">
        <v>0</v>
      </c>
      <c r="J50">
        <v>2</v>
      </c>
      <c r="K50" t="s">
        <v>68</v>
      </c>
      <c r="L50" t="s">
        <v>355</v>
      </c>
      <c r="M50" t="s">
        <v>356</v>
      </c>
      <c r="N50" t="s">
        <v>243</v>
      </c>
    </row>
    <row r="51" spans="1:14" x14ac:dyDescent="0.25">
      <c r="C51" t="s">
        <v>304</v>
      </c>
      <c r="D51" t="s">
        <v>305</v>
      </c>
      <c r="E51">
        <v>47</v>
      </c>
      <c r="F51">
        <v>16</v>
      </c>
      <c r="G51">
        <v>1.220703125E-4</v>
      </c>
      <c r="H51">
        <v>0</v>
      </c>
      <c r="I51">
        <v>0</v>
      </c>
      <c r="J51">
        <v>8</v>
      </c>
      <c r="K51" t="s">
        <v>51</v>
      </c>
      <c r="L51" t="s">
        <v>357</v>
      </c>
      <c r="M51" t="s">
        <v>361</v>
      </c>
      <c r="N51" t="s">
        <v>358</v>
      </c>
    </row>
    <row r="52" spans="1:14" x14ac:dyDescent="0.25">
      <c r="A52">
        <v>39</v>
      </c>
      <c r="B52">
        <v>27</v>
      </c>
      <c r="C52" t="s">
        <v>364</v>
      </c>
      <c r="D52" t="s">
        <v>365</v>
      </c>
      <c r="E52">
        <v>31</v>
      </c>
      <c r="F52">
        <v>16</v>
      </c>
      <c r="G52">
        <v>3.0517578130000002E-5</v>
      </c>
      <c r="H52">
        <v>0</v>
      </c>
      <c r="I52">
        <v>0</v>
      </c>
      <c r="J52">
        <v>2</v>
      </c>
      <c r="K52" t="s">
        <v>68</v>
      </c>
      <c r="L52" t="s">
        <v>355</v>
      </c>
      <c r="M52" t="s">
        <v>356</v>
      </c>
      <c r="N52" t="s">
        <v>243</v>
      </c>
    </row>
    <row r="53" spans="1:14" x14ac:dyDescent="0.25">
      <c r="C53" t="s">
        <v>308</v>
      </c>
      <c r="D53" t="s">
        <v>309</v>
      </c>
      <c r="E53">
        <v>47</v>
      </c>
      <c r="F53">
        <v>16</v>
      </c>
      <c r="G53">
        <v>1.220703125E-4</v>
      </c>
      <c r="H53">
        <v>0</v>
      </c>
      <c r="I53">
        <v>0</v>
      </c>
      <c r="J53">
        <v>8</v>
      </c>
      <c r="K53" t="s">
        <v>51</v>
      </c>
      <c r="L53" t="s">
        <v>357</v>
      </c>
      <c r="M53" t="s">
        <v>361</v>
      </c>
      <c r="N53" t="s">
        <v>358</v>
      </c>
    </row>
    <row r="54" spans="1:14" x14ac:dyDescent="0.25">
      <c r="A54">
        <v>40</v>
      </c>
      <c r="B54">
        <v>28</v>
      </c>
      <c r="C54" t="s">
        <v>366</v>
      </c>
      <c r="D54" t="s">
        <v>367</v>
      </c>
      <c r="E54">
        <v>31</v>
      </c>
      <c r="F54">
        <v>16</v>
      </c>
      <c r="G54">
        <v>3.0517578130000002E-5</v>
      </c>
      <c r="H54">
        <v>0</v>
      </c>
      <c r="I54">
        <v>0</v>
      </c>
      <c r="J54">
        <v>2</v>
      </c>
      <c r="K54" t="s">
        <v>68</v>
      </c>
      <c r="L54" t="s">
        <v>355</v>
      </c>
      <c r="M54" t="s">
        <v>356</v>
      </c>
      <c r="N54" t="s">
        <v>243</v>
      </c>
    </row>
    <row r="55" spans="1:14" x14ac:dyDescent="0.25">
      <c r="C55" t="s">
        <v>312</v>
      </c>
      <c r="D55" t="s">
        <v>313</v>
      </c>
      <c r="E55">
        <v>47</v>
      </c>
      <c r="F55">
        <v>16</v>
      </c>
      <c r="G55">
        <v>1.220703125E-4</v>
      </c>
      <c r="H55">
        <v>0</v>
      </c>
      <c r="I55">
        <v>0</v>
      </c>
      <c r="J55">
        <v>8</v>
      </c>
      <c r="K55" t="s">
        <v>51</v>
      </c>
      <c r="L55" t="s">
        <v>357</v>
      </c>
      <c r="M55" t="s">
        <v>361</v>
      </c>
      <c r="N55" t="s">
        <v>358</v>
      </c>
    </row>
    <row r="56" spans="1:14" x14ac:dyDescent="0.25">
      <c r="A56">
        <v>41</v>
      </c>
      <c r="B56">
        <v>29</v>
      </c>
      <c r="C56" t="s">
        <v>368</v>
      </c>
      <c r="D56" t="s">
        <v>369</v>
      </c>
      <c r="E56">
        <v>31</v>
      </c>
      <c r="F56">
        <v>16</v>
      </c>
      <c r="G56">
        <v>3.0517578130000002E-5</v>
      </c>
      <c r="H56">
        <v>0</v>
      </c>
      <c r="I56">
        <v>0</v>
      </c>
      <c r="J56">
        <v>2</v>
      </c>
      <c r="K56" t="s">
        <v>68</v>
      </c>
      <c r="L56" t="s">
        <v>355</v>
      </c>
      <c r="M56" t="s">
        <v>356</v>
      </c>
      <c r="N56" t="s">
        <v>243</v>
      </c>
    </row>
    <row r="57" spans="1:14" x14ac:dyDescent="0.25">
      <c r="C57" t="s">
        <v>316</v>
      </c>
      <c r="D57" t="s">
        <v>317</v>
      </c>
      <c r="E57">
        <v>47</v>
      </c>
      <c r="F57">
        <v>16</v>
      </c>
      <c r="G57">
        <v>1.220703125E-4</v>
      </c>
      <c r="H57">
        <v>0</v>
      </c>
      <c r="I57">
        <v>0</v>
      </c>
      <c r="J57">
        <v>8</v>
      </c>
      <c r="K57" t="s">
        <v>51</v>
      </c>
      <c r="L57" t="s">
        <v>357</v>
      </c>
      <c r="M57" t="s">
        <v>361</v>
      </c>
      <c r="N57" t="s">
        <v>358</v>
      </c>
    </row>
    <row r="58" spans="1:14" x14ac:dyDescent="0.25">
      <c r="A58">
        <v>42</v>
      </c>
      <c r="B58" t="s">
        <v>370</v>
      </c>
      <c r="C58" t="s">
        <v>371</v>
      </c>
      <c r="D58" t="s">
        <v>372</v>
      </c>
      <c r="E58">
        <v>31</v>
      </c>
      <c r="F58">
        <v>16</v>
      </c>
      <c r="G58">
        <v>3.0517578130000002E-5</v>
      </c>
      <c r="H58">
        <v>0</v>
      </c>
      <c r="I58">
        <v>0</v>
      </c>
      <c r="J58">
        <v>2</v>
      </c>
      <c r="K58" t="s">
        <v>68</v>
      </c>
      <c r="L58" t="s">
        <v>355</v>
      </c>
      <c r="M58" t="s">
        <v>356</v>
      </c>
      <c r="N58" t="s">
        <v>243</v>
      </c>
    </row>
    <row r="59" spans="1:14" x14ac:dyDescent="0.25">
      <c r="C59" t="s">
        <v>321</v>
      </c>
      <c r="D59" t="s">
        <v>322</v>
      </c>
      <c r="E59">
        <v>47</v>
      </c>
      <c r="F59">
        <v>16</v>
      </c>
      <c r="G59">
        <v>1.220703125E-4</v>
      </c>
      <c r="H59">
        <v>0</v>
      </c>
      <c r="I59">
        <v>0</v>
      </c>
      <c r="J59">
        <v>8</v>
      </c>
      <c r="K59" t="s">
        <v>51</v>
      </c>
      <c r="L59" t="s">
        <v>357</v>
      </c>
      <c r="M59" t="s">
        <v>361</v>
      </c>
      <c r="N59" t="s">
        <v>358</v>
      </c>
    </row>
    <row r="60" spans="1:14" x14ac:dyDescent="0.25">
      <c r="A60">
        <v>43</v>
      </c>
      <c r="B60" t="s">
        <v>373</v>
      </c>
      <c r="C60" t="s">
        <v>374</v>
      </c>
      <c r="D60" t="s">
        <v>375</v>
      </c>
      <c r="E60">
        <v>31</v>
      </c>
      <c r="F60">
        <v>16</v>
      </c>
      <c r="G60">
        <v>3.0517578130000002E-5</v>
      </c>
      <c r="H60">
        <v>0</v>
      </c>
      <c r="I60">
        <v>0</v>
      </c>
      <c r="J60">
        <v>2</v>
      </c>
      <c r="K60" t="s">
        <v>68</v>
      </c>
      <c r="L60" t="s">
        <v>355</v>
      </c>
      <c r="M60" t="s">
        <v>356</v>
      </c>
      <c r="N60" t="s">
        <v>243</v>
      </c>
    </row>
    <row r="61" spans="1:14" x14ac:dyDescent="0.25">
      <c r="C61" t="s">
        <v>326</v>
      </c>
      <c r="D61" t="s">
        <v>327</v>
      </c>
      <c r="E61">
        <v>47</v>
      </c>
      <c r="F61">
        <v>16</v>
      </c>
      <c r="G61">
        <v>1.220703125E-4</v>
      </c>
      <c r="H61">
        <v>0</v>
      </c>
      <c r="I61">
        <v>0</v>
      </c>
      <c r="J61">
        <v>8</v>
      </c>
      <c r="K61" t="s">
        <v>51</v>
      </c>
      <c r="L61" t="s">
        <v>357</v>
      </c>
      <c r="M61" t="s">
        <v>361</v>
      </c>
      <c r="N61" t="s">
        <v>358</v>
      </c>
    </row>
    <row r="62" spans="1:14" x14ac:dyDescent="0.25">
      <c r="A62">
        <v>44</v>
      </c>
      <c r="B62" t="s">
        <v>376</v>
      </c>
      <c r="C62" t="s">
        <v>377</v>
      </c>
      <c r="D62" t="s">
        <v>378</v>
      </c>
      <c r="E62">
        <v>31</v>
      </c>
      <c r="F62">
        <v>8</v>
      </c>
      <c r="G62">
        <v>0.3921568627</v>
      </c>
      <c r="H62">
        <v>0</v>
      </c>
      <c r="I62">
        <v>0</v>
      </c>
      <c r="J62">
        <v>100</v>
      </c>
      <c r="K62" t="s">
        <v>29</v>
      </c>
      <c r="L62" t="s">
        <v>248</v>
      </c>
      <c r="M62" t="s">
        <v>249</v>
      </c>
      <c r="N62" t="s">
        <v>250</v>
      </c>
    </row>
    <row r="63" spans="1:14" x14ac:dyDescent="0.25">
      <c r="A63">
        <v>45</v>
      </c>
      <c r="B63" t="s">
        <v>379</v>
      </c>
      <c r="C63" t="s">
        <v>380</v>
      </c>
      <c r="D63" t="s">
        <v>381</v>
      </c>
      <c r="E63">
        <v>31</v>
      </c>
      <c r="F63">
        <v>8</v>
      </c>
      <c r="G63">
        <v>0.78125</v>
      </c>
      <c r="H63">
        <v>-100</v>
      </c>
      <c r="I63">
        <v>-100</v>
      </c>
      <c r="J63">
        <v>99</v>
      </c>
      <c r="K63" t="s">
        <v>29</v>
      </c>
      <c r="L63" t="s">
        <v>256</v>
      </c>
      <c r="M63" t="s">
        <v>257</v>
      </c>
      <c r="N63" t="s">
        <v>250</v>
      </c>
    </row>
    <row r="64" spans="1:14" x14ac:dyDescent="0.25">
      <c r="A64">
        <v>46</v>
      </c>
      <c r="B64" t="s">
        <v>382</v>
      </c>
      <c r="C64" t="s">
        <v>383</v>
      </c>
      <c r="D64" t="s">
        <v>384</v>
      </c>
      <c r="E64">
        <v>31</v>
      </c>
      <c r="F64">
        <v>8</v>
      </c>
      <c r="G64">
        <v>0.3921568627</v>
      </c>
      <c r="H64">
        <v>0</v>
      </c>
      <c r="I64">
        <v>0</v>
      </c>
      <c r="J64">
        <v>100</v>
      </c>
      <c r="K64" t="s">
        <v>29</v>
      </c>
      <c r="L64" t="s">
        <v>248</v>
      </c>
      <c r="M64" t="s">
        <v>249</v>
      </c>
      <c r="N64" t="s">
        <v>250</v>
      </c>
    </row>
    <row r="65" spans="1:14" x14ac:dyDescent="0.25">
      <c r="A65">
        <v>47</v>
      </c>
      <c r="B65" t="s">
        <v>385</v>
      </c>
      <c r="C65" t="s">
        <v>386</v>
      </c>
      <c r="D65" t="s">
        <v>387</v>
      </c>
      <c r="E65">
        <v>31</v>
      </c>
      <c r="F65">
        <v>8</v>
      </c>
      <c r="G65">
        <v>0.3921568627</v>
      </c>
      <c r="H65">
        <v>0</v>
      </c>
      <c r="I65">
        <v>0</v>
      </c>
      <c r="J65">
        <v>100</v>
      </c>
      <c r="K65" t="s">
        <v>29</v>
      </c>
      <c r="L65" t="s">
        <v>248</v>
      </c>
      <c r="M65" t="s">
        <v>249</v>
      </c>
      <c r="N65" t="s">
        <v>250</v>
      </c>
    </row>
    <row r="66" spans="1:14" x14ac:dyDescent="0.25">
      <c r="A66">
        <v>48</v>
      </c>
      <c r="B66">
        <v>30</v>
      </c>
      <c r="C66" t="s">
        <v>388</v>
      </c>
      <c r="D66" t="s">
        <v>389</v>
      </c>
      <c r="E66">
        <v>31</v>
      </c>
      <c r="F66">
        <v>8</v>
      </c>
      <c r="G66">
        <v>1</v>
      </c>
      <c r="H66">
        <v>0</v>
      </c>
      <c r="I66">
        <v>0</v>
      </c>
      <c r="J66">
        <v>255</v>
      </c>
      <c r="K66" t="s">
        <v>81</v>
      </c>
      <c r="L66">
        <v>1</v>
      </c>
      <c r="M66" t="s">
        <v>270</v>
      </c>
      <c r="N66" t="s">
        <v>250</v>
      </c>
    </row>
    <row r="67" spans="1:14" x14ac:dyDescent="0.25">
      <c r="A67">
        <v>49</v>
      </c>
      <c r="B67">
        <v>31</v>
      </c>
      <c r="C67" t="s">
        <v>390</v>
      </c>
      <c r="D67" t="s">
        <v>391</v>
      </c>
      <c r="E67">
        <v>31</v>
      </c>
      <c r="F67">
        <v>16</v>
      </c>
      <c r="G67">
        <v>1</v>
      </c>
      <c r="H67">
        <v>0</v>
      </c>
      <c r="I67">
        <v>0</v>
      </c>
      <c r="J67">
        <v>65535</v>
      </c>
      <c r="K67" t="s">
        <v>64</v>
      </c>
      <c r="L67">
        <v>1</v>
      </c>
      <c r="M67" t="s">
        <v>342</v>
      </c>
      <c r="N67" t="s">
        <v>243</v>
      </c>
    </row>
    <row r="68" spans="1:14" x14ac:dyDescent="0.25">
      <c r="A68">
        <v>50</v>
      </c>
      <c r="B68">
        <v>32</v>
      </c>
      <c r="C68" t="s">
        <v>392</v>
      </c>
      <c r="D68" t="s">
        <v>393</v>
      </c>
      <c r="E68">
        <v>31</v>
      </c>
      <c r="F68">
        <v>16</v>
      </c>
      <c r="G68">
        <v>0.25</v>
      </c>
      <c r="H68">
        <v>0</v>
      </c>
      <c r="I68">
        <v>-8192</v>
      </c>
      <c r="J68">
        <v>8192</v>
      </c>
      <c r="K68" t="s">
        <v>84</v>
      </c>
      <c r="L68">
        <v>0.25</v>
      </c>
      <c r="M68" t="s">
        <v>394</v>
      </c>
      <c r="N68" t="s">
        <v>243</v>
      </c>
    </row>
    <row r="69" spans="1:14" x14ac:dyDescent="0.25">
      <c r="A69">
        <v>51</v>
      </c>
      <c r="B69">
        <v>33</v>
      </c>
      <c r="C69" t="s">
        <v>395</v>
      </c>
      <c r="D69" t="s">
        <v>396</v>
      </c>
      <c r="E69">
        <v>31</v>
      </c>
      <c r="F69">
        <v>8</v>
      </c>
      <c r="G69">
        <v>1</v>
      </c>
      <c r="H69">
        <v>0</v>
      </c>
      <c r="I69">
        <v>0</v>
      </c>
      <c r="J69">
        <v>255</v>
      </c>
      <c r="K69" t="s">
        <v>37</v>
      </c>
      <c r="L69">
        <v>1</v>
      </c>
      <c r="M69" t="s">
        <v>270</v>
      </c>
      <c r="N69" t="s">
        <v>250</v>
      </c>
    </row>
    <row r="70" spans="1:14" x14ac:dyDescent="0.25">
      <c r="A70">
        <v>52</v>
      </c>
      <c r="B70">
        <v>34</v>
      </c>
      <c r="C70" t="s">
        <v>353</v>
      </c>
      <c r="D70" t="s">
        <v>354</v>
      </c>
      <c r="E70">
        <v>31</v>
      </c>
      <c r="F70">
        <v>16</v>
      </c>
      <c r="G70">
        <v>3.0517578130000002E-5</v>
      </c>
      <c r="H70">
        <v>0</v>
      </c>
      <c r="I70">
        <v>0</v>
      </c>
      <c r="J70">
        <v>2</v>
      </c>
      <c r="K70" t="s">
        <v>68</v>
      </c>
      <c r="L70" t="s">
        <v>355</v>
      </c>
      <c r="M70" t="s">
        <v>356</v>
      </c>
      <c r="N70" t="s">
        <v>243</v>
      </c>
    </row>
    <row r="71" spans="1:14" x14ac:dyDescent="0.25">
      <c r="C71" t="s">
        <v>397</v>
      </c>
      <c r="D71" t="s">
        <v>398</v>
      </c>
      <c r="E71">
        <v>47</v>
      </c>
      <c r="F71">
        <v>16</v>
      </c>
      <c r="G71">
        <v>3.90625E-3</v>
      </c>
      <c r="H71">
        <v>-128</v>
      </c>
      <c r="I71">
        <v>-128</v>
      </c>
      <c r="J71">
        <v>128</v>
      </c>
      <c r="K71" t="s">
        <v>181</v>
      </c>
      <c r="L71" t="s">
        <v>399</v>
      </c>
      <c r="M71" t="s">
        <v>400</v>
      </c>
      <c r="N71" t="s">
        <v>358</v>
      </c>
    </row>
    <row r="72" spans="1:14" x14ac:dyDescent="0.25">
      <c r="A72">
        <v>53</v>
      </c>
      <c r="B72">
        <v>35</v>
      </c>
      <c r="C72" t="s">
        <v>359</v>
      </c>
      <c r="D72" t="s">
        <v>360</v>
      </c>
      <c r="E72">
        <v>31</v>
      </c>
      <c r="F72">
        <v>16</v>
      </c>
      <c r="G72">
        <v>3.0517578130000002E-5</v>
      </c>
      <c r="H72">
        <v>0</v>
      </c>
      <c r="I72">
        <v>0</v>
      </c>
      <c r="J72">
        <v>2</v>
      </c>
      <c r="K72" t="s">
        <v>68</v>
      </c>
      <c r="L72" t="s">
        <v>355</v>
      </c>
      <c r="M72" t="s">
        <v>356</v>
      </c>
      <c r="N72" t="s">
        <v>243</v>
      </c>
    </row>
    <row r="73" spans="1:14" x14ac:dyDescent="0.25">
      <c r="C73" t="s">
        <v>401</v>
      </c>
      <c r="D73" t="s">
        <v>402</v>
      </c>
      <c r="E73">
        <v>47</v>
      </c>
      <c r="F73">
        <v>16</v>
      </c>
      <c r="G73">
        <v>3.90625E-3</v>
      </c>
      <c r="H73">
        <v>-128</v>
      </c>
      <c r="I73">
        <v>-128</v>
      </c>
      <c r="J73">
        <v>128</v>
      </c>
      <c r="K73" t="s">
        <v>181</v>
      </c>
      <c r="L73" t="s">
        <v>399</v>
      </c>
      <c r="M73" t="s">
        <v>400</v>
      </c>
      <c r="N73" t="s">
        <v>358</v>
      </c>
    </row>
    <row r="74" spans="1:14" x14ac:dyDescent="0.25">
      <c r="A74">
        <v>54</v>
      </c>
      <c r="B74">
        <v>36</v>
      </c>
      <c r="C74" t="s">
        <v>362</v>
      </c>
      <c r="D74" t="s">
        <v>363</v>
      </c>
      <c r="E74">
        <v>31</v>
      </c>
      <c r="F74">
        <v>16</v>
      </c>
      <c r="G74">
        <v>3.0517578130000002E-5</v>
      </c>
      <c r="H74">
        <v>0</v>
      </c>
      <c r="I74">
        <v>0</v>
      </c>
      <c r="J74">
        <v>2</v>
      </c>
      <c r="K74" t="s">
        <v>68</v>
      </c>
      <c r="L74" t="s">
        <v>355</v>
      </c>
      <c r="M74" t="s">
        <v>356</v>
      </c>
      <c r="N74" t="s">
        <v>243</v>
      </c>
    </row>
    <row r="75" spans="1:14" x14ac:dyDescent="0.25">
      <c r="C75" t="s">
        <v>403</v>
      </c>
      <c r="D75" t="s">
        <v>404</v>
      </c>
      <c r="E75">
        <v>47</v>
      </c>
      <c r="F75">
        <v>16</v>
      </c>
      <c r="G75">
        <v>3.90625E-3</v>
      </c>
      <c r="H75">
        <v>-128</v>
      </c>
      <c r="I75">
        <v>-128</v>
      </c>
      <c r="J75">
        <v>128</v>
      </c>
      <c r="K75" t="s">
        <v>181</v>
      </c>
      <c r="L75" t="s">
        <v>399</v>
      </c>
      <c r="M75" t="s">
        <v>400</v>
      </c>
      <c r="N75" t="s">
        <v>358</v>
      </c>
    </row>
    <row r="76" spans="1:14" x14ac:dyDescent="0.25">
      <c r="A76">
        <v>55</v>
      </c>
      <c r="B76">
        <v>37</v>
      </c>
      <c r="C76" t="s">
        <v>364</v>
      </c>
      <c r="D76" t="s">
        <v>365</v>
      </c>
      <c r="E76">
        <v>31</v>
      </c>
      <c r="F76">
        <v>16</v>
      </c>
      <c r="G76">
        <v>3.0517578130000002E-5</v>
      </c>
      <c r="H76">
        <v>0</v>
      </c>
      <c r="I76">
        <v>0</v>
      </c>
      <c r="J76">
        <v>2</v>
      </c>
      <c r="K76" t="s">
        <v>68</v>
      </c>
      <c r="L76" t="s">
        <v>355</v>
      </c>
      <c r="M76" t="s">
        <v>356</v>
      </c>
      <c r="N76" t="s">
        <v>243</v>
      </c>
    </row>
    <row r="77" spans="1:14" x14ac:dyDescent="0.25">
      <c r="C77" t="s">
        <v>405</v>
      </c>
      <c r="D77" t="s">
        <v>406</v>
      </c>
      <c r="E77">
        <v>47</v>
      </c>
      <c r="F77">
        <v>16</v>
      </c>
      <c r="G77">
        <v>3.90625E-3</v>
      </c>
      <c r="H77">
        <v>-128</v>
      </c>
      <c r="I77">
        <v>-128</v>
      </c>
      <c r="J77">
        <v>128</v>
      </c>
      <c r="K77" t="s">
        <v>181</v>
      </c>
      <c r="L77" t="s">
        <v>399</v>
      </c>
      <c r="M77" t="s">
        <v>400</v>
      </c>
      <c r="N77" t="s">
        <v>358</v>
      </c>
    </row>
    <row r="78" spans="1:14" x14ac:dyDescent="0.25">
      <c r="A78">
        <v>56</v>
      </c>
      <c r="B78">
        <v>38</v>
      </c>
      <c r="C78" t="s">
        <v>366</v>
      </c>
      <c r="D78" t="s">
        <v>367</v>
      </c>
      <c r="E78">
        <v>31</v>
      </c>
      <c r="F78">
        <v>16</v>
      </c>
      <c r="G78">
        <v>3.0517578130000002E-5</v>
      </c>
      <c r="H78">
        <v>0</v>
      </c>
      <c r="I78">
        <v>0</v>
      </c>
      <c r="J78">
        <v>2</v>
      </c>
      <c r="K78" t="s">
        <v>68</v>
      </c>
      <c r="L78" t="s">
        <v>355</v>
      </c>
      <c r="M78" t="s">
        <v>356</v>
      </c>
      <c r="N78" t="s">
        <v>243</v>
      </c>
    </row>
    <row r="79" spans="1:14" x14ac:dyDescent="0.25">
      <c r="C79" t="s">
        <v>407</v>
      </c>
      <c r="D79" t="s">
        <v>408</v>
      </c>
      <c r="E79">
        <v>47</v>
      </c>
      <c r="F79">
        <v>16</v>
      </c>
      <c r="G79">
        <v>3.90625E-3</v>
      </c>
      <c r="H79">
        <v>-128</v>
      </c>
      <c r="I79">
        <v>-128</v>
      </c>
      <c r="J79">
        <v>128</v>
      </c>
      <c r="K79" t="s">
        <v>181</v>
      </c>
      <c r="L79" t="s">
        <v>399</v>
      </c>
      <c r="M79" t="s">
        <v>400</v>
      </c>
      <c r="N79" t="s">
        <v>358</v>
      </c>
    </row>
    <row r="80" spans="1:14" x14ac:dyDescent="0.25">
      <c r="A80">
        <v>57</v>
      </c>
      <c r="B80">
        <v>39</v>
      </c>
      <c r="C80" t="s">
        <v>368</v>
      </c>
      <c r="D80" t="s">
        <v>369</v>
      </c>
      <c r="E80">
        <v>31</v>
      </c>
      <c r="F80">
        <v>16</v>
      </c>
      <c r="G80">
        <v>3.0517578130000002E-5</v>
      </c>
      <c r="H80">
        <v>0</v>
      </c>
      <c r="I80">
        <v>0</v>
      </c>
      <c r="J80">
        <v>2</v>
      </c>
      <c r="K80" t="s">
        <v>68</v>
      </c>
      <c r="L80" t="s">
        <v>355</v>
      </c>
      <c r="M80" t="s">
        <v>356</v>
      </c>
      <c r="N80" t="s">
        <v>243</v>
      </c>
    </row>
    <row r="81" spans="1:14" x14ac:dyDescent="0.25">
      <c r="C81" t="s">
        <v>409</v>
      </c>
      <c r="D81" t="s">
        <v>410</v>
      </c>
      <c r="E81">
        <v>47</v>
      </c>
      <c r="F81">
        <v>16</v>
      </c>
      <c r="G81">
        <v>3.90625E-3</v>
      </c>
      <c r="H81">
        <v>-128</v>
      </c>
      <c r="I81">
        <v>-128</v>
      </c>
      <c r="J81">
        <v>128</v>
      </c>
      <c r="K81" t="s">
        <v>181</v>
      </c>
      <c r="L81" t="s">
        <v>399</v>
      </c>
      <c r="M81" t="s">
        <v>400</v>
      </c>
      <c r="N81" t="s">
        <v>358</v>
      </c>
    </row>
    <row r="82" spans="1:14" x14ac:dyDescent="0.25">
      <c r="A82">
        <v>58</v>
      </c>
      <c r="B82" t="s">
        <v>411</v>
      </c>
      <c r="C82" t="s">
        <v>371</v>
      </c>
      <c r="D82" t="s">
        <v>372</v>
      </c>
      <c r="E82">
        <v>31</v>
      </c>
      <c r="F82">
        <v>16</v>
      </c>
      <c r="G82">
        <v>3.0517578130000002E-5</v>
      </c>
      <c r="H82">
        <v>0</v>
      </c>
      <c r="I82">
        <v>0</v>
      </c>
      <c r="J82">
        <v>2</v>
      </c>
      <c r="K82" t="s">
        <v>68</v>
      </c>
      <c r="L82" t="s">
        <v>355</v>
      </c>
      <c r="M82" t="s">
        <v>356</v>
      </c>
      <c r="N82" t="s">
        <v>243</v>
      </c>
    </row>
    <row r="83" spans="1:14" x14ac:dyDescent="0.25">
      <c r="C83" t="s">
        <v>412</v>
      </c>
      <c r="D83" t="s">
        <v>413</v>
      </c>
      <c r="E83">
        <v>47</v>
      </c>
      <c r="F83">
        <v>16</v>
      </c>
      <c r="G83">
        <v>3.90625E-3</v>
      </c>
      <c r="H83">
        <v>-128</v>
      </c>
      <c r="I83">
        <v>-128</v>
      </c>
      <c r="J83">
        <v>128</v>
      </c>
      <c r="K83" t="s">
        <v>181</v>
      </c>
      <c r="L83" t="s">
        <v>399</v>
      </c>
      <c r="M83" t="s">
        <v>400</v>
      </c>
      <c r="N83" t="s">
        <v>358</v>
      </c>
    </row>
    <row r="84" spans="1:14" x14ac:dyDescent="0.25">
      <c r="A84">
        <v>59</v>
      </c>
      <c r="B84" t="s">
        <v>414</v>
      </c>
      <c r="C84" t="s">
        <v>374</v>
      </c>
      <c r="D84" t="s">
        <v>375</v>
      </c>
      <c r="E84">
        <v>31</v>
      </c>
      <c r="F84">
        <v>16</v>
      </c>
      <c r="G84">
        <v>3.0517578130000002E-5</v>
      </c>
      <c r="H84">
        <v>0</v>
      </c>
      <c r="I84">
        <v>0</v>
      </c>
      <c r="J84">
        <v>2</v>
      </c>
      <c r="K84" t="s">
        <v>68</v>
      </c>
      <c r="L84" t="s">
        <v>355</v>
      </c>
      <c r="M84" t="s">
        <v>356</v>
      </c>
      <c r="N84" t="s">
        <v>243</v>
      </c>
    </row>
    <row r="85" spans="1:14" x14ac:dyDescent="0.25">
      <c r="C85" t="s">
        <v>415</v>
      </c>
      <c r="D85" t="s">
        <v>416</v>
      </c>
      <c r="E85">
        <v>47</v>
      </c>
      <c r="F85">
        <v>16</v>
      </c>
      <c r="G85">
        <v>3.90625E-3</v>
      </c>
      <c r="H85">
        <v>-128</v>
      </c>
      <c r="I85">
        <v>-128</v>
      </c>
      <c r="J85">
        <v>128</v>
      </c>
      <c r="K85" t="s">
        <v>181</v>
      </c>
      <c r="L85" t="s">
        <v>399</v>
      </c>
      <c r="M85" t="s">
        <v>400</v>
      </c>
      <c r="N85" t="s">
        <v>358</v>
      </c>
    </row>
    <row r="86" spans="1:14" x14ac:dyDescent="0.25">
      <c r="A86">
        <v>60</v>
      </c>
      <c r="B86" t="s">
        <v>417</v>
      </c>
      <c r="C86" t="s">
        <v>418</v>
      </c>
      <c r="D86" t="s">
        <v>419</v>
      </c>
      <c r="E86">
        <v>31</v>
      </c>
      <c r="F86">
        <v>16</v>
      </c>
      <c r="G86">
        <v>0.1</v>
      </c>
      <c r="H86">
        <v>-40</v>
      </c>
      <c r="I86">
        <v>-40</v>
      </c>
      <c r="J86">
        <v>6514</v>
      </c>
      <c r="K86" t="s">
        <v>31</v>
      </c>
      <c r="L86">
        <v>0.1</v>
      </c>
      <c r="M86" t="s">
        <v>420</v>
      </c>
      <c r="N86" t="s">
        <v>243</v>
      </c>
    </row>
    <row r="87" spans="1:14" x14ac:dyDescent="0.25">
      <c r="A87">
        <v>61</v>
      </c>
      <c r="B87" t="s">
        <v>421</v>
      </c>
      <c r="C87" t="s">
        <v>422</v>
      </c>
      <c r="D87" t="s">
        <v>423</v>
      </c>
      <c r="E87">
        <v>31</v>
      </c>
      <c r="F87">
        <v>16</v>
      </c>
      <c r="G87">
        <v>0.1</v>
      </c>
      <c r="H87">
        <v>-40</v>
      </c>
      <c r="I87">
        <v>-40</v>
      </c>
      <c r="J87">
        <v>6514</v>
      </c>
      <c r="K87" t="s">
        <v>31</v>
      </c>
      <c r="L87">
        <v>0.1</v>
      </c>
      <c r="M87" t="s">
        <v>420</v>
      </c>
      <c r="N87" t="s">
        <v>243</v>
      </c>
    </row>
    <row r="88" spans="1:14" x14ac:dyDescent="0.25">
      <c r="A88">
        <v>62</v>
      </c>
      <c r="B88" t="s">
        <v>424</v>
      </c>
      <c r="C88" t="s">
        <v>425</v>
      </c>
      <c r="D88" t="s">
        <v>426</v>
      </c>
      <c r="E88">
        <v>31</v>
      </c>
      <c r="F88">
        <v>16</v>
      </c>
      <c r="G88">
        <v>0.1</v>
      </c>
      <c r="H88">
        <v>-40</v>
      </c>
      <c r="I88">
        <v>-40</v>
      </c>
      <c r="J88">
        <v>6514</v>
      </c>
      <c r="K88" t="s">
        <v>31</v>
      </c>
      <c r="L88">
        <v>0.1</v>
      </c>
      <c r="M88" t="s">
        <v>420</v>
      </c>
      <c r="N88" t="s">
        <v>243</v>
      </c>
    </row>
    <row r="89" spans="1:14" x14ac:dyDescent="0.25">
      <c r="A89">
        <v>63</v>
      </c>
      <c r="B89" t="s">
        <v>427</v>
      </c>
      <c r="C89" t="s">
        <v>428</v>
      </c>
      <c r="D89" t="s">
        <v>429</v>
      </c>
      <c r="E89">
        <v>31</v>
      </c>
      <c r="F89">
        <v>16</v>
      </c>
      <c r="G89">
        <v>0.1</v>
      </c>
      <c r="H89">
        <v>-40</v>
      </c>
      <c r="I89">
        <v>-40</v>
      </c>
      <c r="J89">
        <v>6514</v>
      </c>
      <c r="K89" t="s">
        <v>31</v>
      </c>
      <c r="L89">
        <v>0.1</v>
      </c>
      <c r="M89" t="s">
        <v>420</v>
      </c>
      <c r="N89" t="s">
        <v>243</v>
      </c>
    </row>
    <row r="90" spans="1:14" x14ac:dyDescent="0.25">
      <c r="A90">
        <v>64</v>
      </c>
      <c r="B90">
        <v>40</v>
      </c>
      <c r="C90" t="s">
        <v>430</v>
      </c>
      <c r="D90" t="s">
        <v>431</v>
      </c>
      <c r="E90">
        <v>31</v>
      </c>
      <c r="F90">
        <v>32</v>
      </c>
      <c r="G90">
        <v>1</v>
      </c>
      <c r="H90">
        <v>0</v>
      </c>
      <c r="K90" t="s">
        <v>237</v>
      </c>
      <c r="L90">
        <v>1</v>
      </c>
      <c r="N90" t="s">
        <v>238</v>
      </c>
    </row>
    <row r="91" spans="1:14" x14ac:dyDescent="0.25">
      <c r="A91">
        <v>65</v>
      </c>
      <c r="B91">
        <v>41</v>
      </c>
      <c r="C91" t="s">
        <v>432</v>
      </c>
      <c r="D91" t="s">
        <v>433</v>
      </c>
      <c r="E91">
        <v>31</v>
      </c>
      <c r="F91">
        <v>32</v>
      </c>
      <c r="G91">
        <v>1</v>
      </c>
      <c r="H91">
        <v>0</v>
      </c>
      <c r="K91" t="s">
        <v>237</v>
      </c>
      <c r="L91">
        <v>1</v>
      </c>
      <c r="N91" t="s">
        <v>238</v>
      </c>
    </row>
    <row r="92" spans="1:14" x14ac:dyDescent="0.25">
      <c r="A92">
        <v>66</v>
      </c>
      <c r="B92">
        <v>42</v>
      </c>
      <c r="C92" t="s">
        <v>434</v>
      </c>
      <c r="D92" t="s">
        <v>435</v>
      </c>
      <c r="E92">
        <v>31</v>
      </c>
      <c r="F92">
        <v>16</v>
      </c>
      <c r="G92">
        <v>1E-3</v>
      </c>
      <c r="H92">
        <v>0</v>
      </c>
      <c r="I92">
        <v>0</v>
      </c>
      <c r="J92">
        <v>66</v>
      </c>
      <c r="K92" t="s">
        <v>101</v>
      </c>
      <c r="L92">
        <v>1E-3</v>
      </c>
      <c r="M92" t="s">
        <v>436</v>
      </c>
      <c r="N92" t="s">
        <v>243</v>
      </c>
    </row>
    <row r="93" spans="1:14" x14ac:dyDescent="0.25">
      <c r="A93">
        <v>67</v>
      </c>
      <c r="B93">
        <v>43</v>
      </c>
      <c r="C93" t="s">
        <v>437</v>
      </c>
      <c r="D93" t="s">
        <v>438</v>
      </c>
      <c r="E93">
        <v>31</v>
      </c>
      <c r="F93">
        <v>16</v>
      </c>
      <c r="G93">
        <v>0.3921568627</v>
      </c>
      <c r="H93">
        <v>0</v>
      </c>
      <c r="I93">
        <v>0</v>
      </c>
      <c r="J93">
        <v>25700</v>
      </c>
      <c r="K93" t="s">
        <v>29</v>
      </c>
      <c r="L93" t="s">
        <v>248</v>
      </c>
      <c r="M93" t="s">
        <v>439</v>
      </c>
      <c r="N93" t="s">
        <v>243</v>
      </c>
    </row>
    <row r="94" spans="1:14" x14ac:dyDescent="0.25">
      <c r="A94">
        <v>68</v>
      </c>
      <c r="B94">
        <v>44</v>
      </c>
      <c r="C94" t="s">
        <v>440</v>
      </c>
      <c r="D94" t="s">
        <v>441</v>
      </c>
      <c r="E94">
        <v>31</v>
      </c>
      <c r="F94">
        <v>16</v>
      </c>
      <c r="G94">
        <v>3.0517578130000002E-5</v>
      </c>
      <c r="H94">
        <v>0</v>
      </c>
      <c r="I94">
        <v>0</v>
      </c>
      <c r="J94">
        <v>2</v>
      </c>
      <c r="K94" t="s">
        <v>68</v>
      </c>
      <c r="L94" t="s">
        <v>355</v>
      </c>
      <c r="M94" t="s">
        <v>356</v>
      </c>
      <c r="N94" t="s">
        <v>243</v>
      </c>
    </row>
    <row r="95" spans="1:14" x14ac:dyDescent="0.25">
      <c r="A95">
        <v>69</v>
      </c>
      <c r="B95">
        <v>45</v>
      </c>
      <c r="C95" t="s">
        <v>442</v>
      </c>
      <c r="D95" t="s">
        <v>443</v>
      </c>
      <c r="E95">
        <v>31</v>
      </c>
      <c r="F95">
        <v>8</v>
      </c>
      <c r="G95">
        <v>0.3921568627</v>
      </c>
      <c r="H95">
        <v>0</v>
      </c>
      <c r="I95">
        <v>0</v>
      </c>
      <c r="J95">
        <v>100</v>
      </c>
      <c r="K95" t="s">
        <v>29</v>
      </c>
      <c r="L95" t="s">
        <v>248</v>
      </c>
      <c r="M95" t="s">
        <v>249</v>
      </c>
      <c r="N95" t="s">
        <v>250</v>
      </c>
    </row>
    <row r="96" spans="1:14" x14ac:dyDescent="0.25">
      <c r="A96">
        <v>70</v>
      </c>
      <c r="B96">
        <v>46</v>
      </c>
      <c r="C96" t="s">
        <v>444</v>
      </c>
      <c r="D96" t="s">
        <v>445</v>
      </c>
      <c r="E96">
        <v>31</v>
      </c>
      <c r="F96">
        <v>8</v>
      </c>
      <c r="G96">
        <v>1</v>
      </c>
      <c r="H96">
        <v>-40</v>
      </c>
      <c r="I96">
        <v>-40</v>
      </c>
      <c r="J96">
        <v>215</v>
      </c>
      <c r="K96" t="s">
        <v>31</v>
      </c>
      <c r="L96">
        <v>1</v>
      </c>
      <c r="M96" t="s">
        <v>253</v>
      </c>
      <c r="N96" t="s">
        <v>250</v>
      </c>
    </row>
    <row r="97" spans="1:14" x14ac:dyDescent="0.25">
      <c r="A97">
        <v>71</v>
      </c>
      <c r="B97">
        <v>47</v>
      </c>
      <c r="C97" t="s">
        <v>446</v>
      </c>
      <c r="D97" t="s">
        <v>447</v>
      </c>
      <c r="E97">
        <v>31</v>
      </c>
      <c r="F97">
        <v>8</v>
      </c>
      <c r="G97">
        <v>0.3921568627</v>
      </c>
      <c r="H97">
        <v>0</v>
      </c>
      <c r="I97">
        <v>0</v>
      </c>
      <c r="J97">
        <v>100</v>
      </c>
      <c r="K97" t="s">
        <v>29</v>
      </c>
      <c r="L97" t="s">
        <v>248</v>
      </c>
      <c r="M97" t="s">
        <v>249</v>
      </c>
      <c r="N97" t="s">
        <v>250</v>
      </c>
    </row>
    <row r="98" spans="1:14" x14ac:dyDescent="0.25">
      <c r="A98">
        <v>72</v>
      </c>
      <c r="B98">
        <v>48</v>
      </c>
      <c r="C98" t="s">
        <v>448</v>
      </c>
      <c r="D98" t="s">
        <v>449</v>
      </c>
      <c r="E98">
        <v>31</v>
      </c>
      <c r="F98">
        <v>8</v>
      </c>
      <c r="G98">
        <v>0.3921568627</v>
      </c>
      <c r="H98">
        <v>0</v>
      </c>
      <c r="I98">
        <v>0</v>
      </c>
      <c r="J98">
        <v>100</v>
      </c>
      <c r="K98" t="s">
        <v>29</v>
      </c>
      <c r="L98" t="s">
        <v>248</v>
      </c>
      <c r="M98" t="s">
        <v>249</v>
      </c>
      <c r="N98" t="s">
        <v>250</v>
      </c>
    </row>
    <row r="99" spans="1:14" x14ac:dyDescent="0.25">
      <c r="A99">
        <v>73</v>
      </c>
      <c r="B99">
        <v>49</v>
      </c>
      <c r="C99" t="s">
        <v>450</v>
      </c>
      <c r="D99" t="s">
        <v>451</v>
      </c>
      <c r="E99">
        <v>31</v>
      </c>
      <c r="F99">
        <v>8</v>
      </c>
      <c r="G99">
        <v>0.3921568627</v>
      </c>
      <c r="H99">
        <v>0</v>
      </c>
      <c r="I99">
        <v>0</v>
      </c>
      <c r="J99">
        <v>100</v>
      </c>
      <c r="K99" t="s">
        <v>29</v>
      </c>
      <c r="L99" t="s">
        <v>248</v>
      </c>
      <c r="M99" t="s">
        <v>249</v>
      </c>
      <c r="N99" t="s">
        <v>250</v>
      </c>
    </row>
    <row r="100" spans="1:14" x14ac:dyDescent="0.25">
      <c r="A100">
        <v>74</v>
      </c>
      <c r="B100" t="s">
        <v>452</v>
      </c>
      <c r="C100" t="s">
        <v>453</v>
      </c>
      <c r="D100" t="s">
        <v>454</v>
      </c>
      <c r="E100">
        <v>31</v>
      </c>
      <c r="F100">
        <v>8</v>
      </c>
      <c r="G100">
        <v>0.3921568627</v>
      </c>
      <c r="H100">
        <v>0</v>
      </c>
      <c r="I100">
        <v>0</v>
      </c>
      <c r="J100">
        <v>100</v>
      </c>
      <c r="K100" t="s">
        <v>29</v>
      </c>
      <c r="L100" t="s">
        <v>248</v>
      </c>
      <c r="M100" t="s">
        <v>249</v>
      </c>
      <c r="N100" t="s">
        <v>250</v>
      </c>
    </row>
    <row r="101" spans="1:14" x14ac:dyDescent="0.25">
      <c r="A101">
        <v>75</v>
      </c>
      <c r="B101" t="s">
        <v>455</v>
      </c>
      <c r="C101" t="s">
        <v>456</v>
      </c>
      <c r="D101" t="s">
        <v>457</v>
      </c>
      <c r="E101">
        <v>31</v>
      </c>
      <c r="F101">
        <v>8</v>
      </c>
      <c r="G101">
        <v>0.3921568627</v>
      </c>
      <c r="H101">
        <v>0</v>
      </c>
      <c r="I101">
        <v>0</v>
      </c>
      <c r="J101">
        <v>100</v>
      </c>
      <c r="K101" t="s">
        <v>29</v>
      </c>
      <c r="L101" t="s">
        <v>248</v>
      </c>
      <c r="M101" t="s">
        <v>249</v>
      </c>
      <c r="N101" t="s">
        <v>250</v>
      </c>
    </row>
    <row r="102" spans="1:14" x14ac:dyDescent="0.25">
      <c r="A102">
        <v>76</v>
      </c>
      <c r="B102" t="s">
        <v>458</v>
      </c>
      <c r="C102" t="s">
        <v>459</v>
      </c>
      <c r="D102" t="s">
        <v>460</v>
      </c>
      <c r="E102">
        <v>31</v>
      </c>
      <c r="F102">
        <v>8</v>
      </c>
      <c r="G102">
        <v>0.3921568627</v>
      </c>
      <c r="H102">
        <v>0</v>
      </c>
      <c r="I102">
        <v>0</v>
      </c>
      <c r="J102">
        <v>100</v>
      </c>
      <c r="K102" t="s">
        <v>29</v>
      </c>
      <c r="L102" t="s">
        <v>248</v>
      </c>
      <c r="M102" t="s">
        <v>249</v>
      </c>
      <c r="N102" t="s">
        <v>250</v>
      </c>
    </row>
    <row r="103" spans="1:14" x14ac:dyDescent="0.25">
      <c r="A103">
        <v>77</v>
      </c>
      <c r="B103" t="s">
        <v>461</v>
      </c>
      <c r="C103" t="s">
        <v>462</v>
      </c>
      <c r="D103" t="s">
        <v>463</v>
      </c>
      <c r="E103">
        <v>31</v>
      </c>
      <c r="F103">
        <v>16</v>
      </c>
      <c r="G103">
        <v>1</v>
      </c>
      <c r="H103">
        <v>0</v>
      </c>
      <c r="I103">
        <v>0</v>
      </c>
      <c r="J103">
        <v>65535</v>
      </c>
      <c r="K103" t="s">
        <v>113</v>
      </c>
      <c r="L103">
        <v>1</v>
      </c>
      <c r="M103" t="s">
        <v>342</v>
      </c>
      <c r="N103" t="s">
        <v>243</v>
      </c>
    </row>
    <row r="104" spans="1:14" x14ac:dyDescent="0.25">
      <c r="A104">
        <v>78</v>
      </c>
      <c r="B104" t="s">
        <v>464</v>
      </c>
      <c r="C104" t="s">
        <v>465</v>
      </c>
      <c r="D104" t="s">
        <v>466</v>
      </c>
      <c r="E104">
        <v>31</v>
      </c>
      <c r="F104">
        <v>16</v>
      </c>
      <c r="G104">
        <v>1</v>
      </c>
      <c r="H104">
        <v>0</v>
      </c>
      <c r="I104">
        <v>0</v>
      </c>
      <c r="J104">
        <v>65535</v>
      </c>
      <c r="K104" t="s">
        <v>113</v>
      </c>
      <c r="L104">
        <v>1</v>
      </c>
      <c r="M104" t="s">
        <v>342</v>
      </c>
      <c r="N104" t="s">
        <v>243</v>
      </c>
    </row>
    <row r="105" spans="1:14" x14ac:dyDescent="0.25">
      <c r="A105">
        <v>79</v>
      </c>
      <c r="B105" t="s">
        <v>467</v>
      </c>
      <c r="C105" t="s">
        <v>468</v>
      </c>
      <c r="D105" t="s">
        <v>469</v>
      </c>
      <c r="E105">
        <v>31</v>
      </c>
      <c r="F105">
        <v>8</v>
      </c>
      <c r="G105">
        <v>1</v>
      </c>
      <c r="H105">
        <v>0</v>
      </c>
      <c r="I105">
        <v>0</v>
      </c>
      <c r="J105">
        <v>255</v>
      </c>
      <c r="K105" t="s">
        <v>68</v>
      </c>
      <c r="L105">
        <v>1</v>
      </c>
      <c r="M105" t="s">
        <v>270</v>
      </c>
      <c r="N105" t="s">
        <v>250</v>
      </c>
    </row>
    <row r="106" spans="1:14" x14ac:dyDescent="0.25">
      <c r="C106" t="s">
        <v>470</v>
      </c>
      <c r="D106" t="s">
        <v>471</v>
      </c>
      <c r="E106">
        <v>39</v>
      </c>
      <c r="F106">
        <v>8</v>
      </c>
      <c r="G106">
        <v>1</v>
      </c>
      <c r="H106">
        <v>0</v>
      </c>
      <c r="I106">
        <v>0</v>
      </c>
      <c r="J106">
        <v>255</v>
      </c>
      <c r="K106" t="s">
        <v>101</v>
      </c>
      <c r="L106">
        <v>1</v>
      </c>
      <c r="M106" t="s">
        <v>270</v>
      </c>
      <c r="N106" t="s">
        <v>299</v>
      </c>
    </row>
    <row r="107" spans="1:14" x14ac:dyDescent="0.25">
      <c r="C107" t="s">
        <v>472</v>
      </c>
      <c r="D107" t="s">
        <v>473</v>
      </c>
      <c r="E107">
        <v>47</v>
      </c>
      <c r="F107">
        <v>8</v>
      </c>
      <c r="G107">
        <v>1</v>
      </c>
      <c r="H107">
        <v>0</v>
      </c>
      <c r="I107">
        <v>0</v>
      </c>
      <c r="J107">
        <v>255</v>
      </c>
      <c r="K107" t="s">
        <v>181</v>
      </c>
      <c r="L107">
        <v>1</v>
      </c>
      <c r="M107" t="s">
        <v>270</v>
      </c>
      <c r="N107" t="s">
        <v>474</v>
      </c>
    </row>
    <row r="108" spans="1:14" x14ac:dyDescent="0.25">
      <c r="C108" t="s">
        <v>475</v>
      </c>
      <c r="D108" t="s">
        <v>476</v>
      </c>
      <c r="E108">
        <v>55</v>
      </c>
      <c r="F108">
        <v>8</v>
      </c>
      <c r="G108">
        <v>10</v>
      </c>
      <c r="H108">
        <v>0</v>
      </c>
      <c r="I108">
        <v>0</v>
      </c>
      <c r="J108">
        <v>2550</v>
      </c>
      <c r="K108" t="s">
        <v>37</v>
      </c>
      <c r="L108">
        <v>10</v>
      </c>
      <c r="M108" t="s">
        <v>477</v>
      </c>
      <c r="N108" t="s">
        <v>478</v>
      </c>
    </row>
    <row r="109" spans="1:14" x14ac:dyDescent="0.25">
      <c r="A109">
        <v>80</v>
      </c>
      <c r="B109">
        <v>50</v>
      </c>
      <c r="C109" t="s">
        <v>479</v>
      </c>
      <c r="D109" t="s">
        <v>480</v>
      </c>
      <c r="E109">
        <v>31</v>
      </c>
      <c r="F109">
        <v>8</v>
      </c>
      <c r="G109">
        <v>10</v>
      </c>
      <c r="H109">
        <v>0</v>
      </c>
      <c r="I109">
        <v>0</v>
      </c>
      <c r="J109">
        <v>2550</v>
      </c>
      <c r="K109" t="s">
        <v>117</v>
      </c>
      <c r="L109">
        <v>10</v>
      </c>
      <c r="M109" t="s">
        <v>477</v>
      </c>
      <c r="N109" t="s">
        <v>250</v>
      </c>
    </row>
    <row r="110" spans="1:14" x14ac:dyDescent="0.25">
      <c r="A110">
        <v>81</v>
      </c>
      <c r="B110">
        <v>51</v>
      </c>
      <c r="C110" t="s">
        <v>481</v>
      </c>
      <c r="D110" t="s">
        <v>482</v>
      </c>
      <c r="E110">
        <v>31</v>
      </c>
      <c r="F110">
        <v>8</v>
      </c>
      <c r="G110">
        <v>1</v>
      </c>
      <c r="H110">
        <v>0</v>
      </c>
      <c r="K110" t="s">
        <v>237</v>
      </c>
      <c r="L110">
        <v>1</v>
      </c>
      <c r="N110" t="s">
        <v>250</v>
      </c>
    </row>
    <row r="111" spans="1:14" x14ac:dyDescent="0.25">
      <c r="A111">
        <v>82</v>
      </c>
      <c r="B111">
        <v>52</v>
      </c>
      <c r="C111" t="s">
        <v>483</v>
      </c>
      <c r="D111" t="s">
        <v>484</v>
      </c>
      <c r="E111">
        <v>31</v>
      </c>
      <c r="F111">
        <v>8</v>
      </c>
      <c r="G111">
        <v>0.3921568627</v>
      </c>
      <c r="H111">
        <v>0</v>
      </c>
      <c r="I111">
        <v>0</v>
      </c>
      <c r="J111">
        <v>100</v>
      </c>
      <c r="K111" t="s">
        <v>29</v>
      </c>
      <c r="L111" t="s">
        <v>248</v>
      </c>
      <c r="M111" t="s">
        <v>249</v>
      </c>
      <c r="N111" t="s">
        <v>250</v>
      </c>
    </row>
    <row r="112" spans="1:14" x14ac:dyDescent="0.25">
      <c r="A112">
        <v>83</v>
      </c>
      <c r="B112">
        <v>53</v>
      </c>
      <c r="C112" t="s">
        <v>485</v>
      </c>
      <c r="D112" t="s">
        <v>486</v>
      </c>
      <c r="E112">
        <v>31</v>
      </c>
      <c r="F112">
        <v>16</v>
      </c>
      <c r="G112">
        <v>5.0000000000000001E-3</v>
      </c>
      <c r="H112">
        <v>0</v>
      </c>
      <c r="I112">
        <v>0</v>
      </c>
      <c r="J112">
        <v>328</v>
      </c>
      <c r="K112" t="s">
        <v>37</v>
      </c>
      <c r="L112">
        <v>5.0000000000000001E-3</v>
      </c>
      <c r="M112" t="s">
        <v>487</v>
      </c>
      <c r="N112" t="s">
        <v>243</v>
      </c>
    </row>
    <row r="113" spans="1:14" x14ac:dyDescent="0.25">
      <c r="A113">
        <v>84</v>
      </c>
      <c r="B113">
        <v>54</v>
      </c>
      <c r="C113" t="s">
        <v>488</v>
      </c>
      <c r="D113" t="s">
        <v>489</v>
      </c>
      <c r="E113">
        <v>31</v>
      </c>
      <c r="F113">
        <v>16</v>
      </c>
      <c r="G113">
        <v>1</v>
      </c>
      <c r="H113">
        <v>-32767</v>
      </c>
      <c r="I113">
        <v>-32767</v>
      </c>
      <c r="J113">
        <v>32768</v>
      </c>
      <c r="K113" t="s">
        <v>84</v>
      </c>
      <c r="L113">
        <v>1</v>
      </c>
      <c r="M113" t="s">
        <v>490</v>
      </c>
      <c r="N113" t="s">
        <v>243</v>
      </c>
    </row>
    <row r="114" spans="1:14" x14ac:dyDescent="0.25">
      <c r="A114">
        <v>85</v>
      </c>
      <c r="B114">
        <v>55</v>
      </c>
      <c r="C114" t="s">
        <v>491</v>
      </c>
      <c r="D114" t="s">
        <v>492</v>
      </c>
      <c r="E114">
        <v>31</v>
      </c>
      <c r="F114">
        <v>8</v>
      </c>
      <c r="G114">
        <v>0.78125</v>
      </c>
      <c r="H114">
        <v>-100</v>
      </c>
      <c r="I114">
        <v>-100</v>
      </c>
      <c r="J114">
        <v>99</v>
      </c>
      <c r="K114" t="s">
        <v>29</v>
      </c>
      <c r="L114" t="s">
        <v>256</v>
      </c>
      <c r="M114" t="s">
        <v>257</v>
      </c>
      <c r="N114" t="s">
        <v>250</v>
      </c>
    </row>
    <row r="115" spans="1:14" x14ac:dyDescent="0.25">
      <c r="C115" t="s">
        <v>493</v>
      </c>
      <c r="D115" t="s">
        <v>494</v>
      </c>
      <c r="E115">
        <v>39</v>
      </c>
      <c r="F115">
        <v>8</v>
      </c>
      <c r="G115">
        <v>0.78125</v>
      </c>
      <c r="H115">
        <v>-100</v>
      </c>
      <c r="I115">
        <v>-100</v>
      </c>
      <c r="J115">
        <v>99</v>
      </c>
      <c r="K115" t="s">
        <v>29</v>
      </c>
      <c r="L115" t="s">
        <v>256</v>
      </c>
      <c r="M115" t="s">
        <v>257</v>
      </c>
      <c r="N115" t="s">
        <v>299</v>
      </c>
    </row>
    <row r="116" spans="1:14" x14ac:dyDescent="0.25">
      <c r="A116">
        <v>86</v>
      </c>
      <c r="B116">
        <v>56</v>
      </c>
      <c r="C116" t="s">
        <v>495</v>
      </c>
      <c r="D116" t="s">
        <v>496</v>
      </c>
      <c r="E116">
        <v>31</v>
      </c>
      <c r="F116">
        <v>8</v>
      </c>
      <c r="G116">
        <v>0.78125</v>
      </c>
      <c r="H116">
        <v>-100</v>
      </c>
      <c r="I116">
        <v>-100</v>
      </c>
      <c r="J116">
        <v>99</v>
      </c>
      <c r="K116" t="s">
        <v>29</v>
      </c>
      <c r="L116" t="s">
        <v>256</v>
      </c>
      <c r="M116" t="s">
        <v>257</v>
      </c>
      <c r="N116" t="s">
        <v>250</v>
      </c>
    </row>
    <row r="117" spans="1:14" x14ac:dyDescent="0.25">
      <c r="C117" t="s">
        <v>497</v>
      </c>
      <c r="D117" t="s">
        <v>498</v>
      </c>
      <c r="E117">
        <v>39</v>
      </c>
      <c r="F117">
        <v>8</v>
      </c>
      <c r="G117">
        <v>0.78125</v>
      </c>
      <c r="H117">
        <v>-100</v>
      </c>
      <c r="I117">
        <v>-100</v>
      </c>
      <c r="J117">
        <v>99</v>
      </c>
      <c r="K117" t="s">
        <v>29</v>
      </c>
      <c r="L117" t="s">
        <v>256</v>
      </c>
      <c r="M117" t="s">
        <v>257</v>
      </c>
      <c r="N117" t="s">
        <v>299</v>
      </c>
    </row>
    <row r="118" spans="1:14" x14ac:dyDescent="0.25">
      <c r="A118">
        <v>87</v>
      </c>
      <c r="B118">
        <v>57</v>
      </c>
      <c r="C118" t="s">
        <v>499</v>
      </c>
      <c r="D118" t="s">
        <v>500</v>
      </c>
      <c r="E118">
        <v>31</v>
      </c>
      <c r="F118">
        <v>8</v>
      </c>
      <c r="G118">
        <v>0.78125</v>
      </c>
      <c r="H118">
        <v>-100</v>
      </c>
      <c r="I118">
        <v>-100</v>
      </c>
      <c r="J118">
        <v>99</v>
      </c>
      <c r="K118" t="s">
        <v>29</v>
      </c>
      <c r="L118" t="s">
        <v>256</v>
      </c>
      <c r="M118" t="s">
        <v>257</v>
      </c>
      <c r="N118" t="s">
        <v>250</v>
      </c>
    </row>
    <row r="119" spans="1:14" x14ac:dyDescent="0.25">
      <c r="C119" t="s">
        <v>501</v>
      </c>
      <c r="D119" t="s">
        <v>502</v>
      </c>
      <c r="E119">
        <v>39</v>
      </c>
      <c r="F119">
        <v>8</v>
      </c>
      <c r="G119">
        <v>0.78125</v>
      </c>
      <c r="H119">
        <v>-100</v>
      </c>
      <c r="I119">
        <v>-100</v>
      </c>
      <c r="J119">
        <v>99</v>
      </c>
      <c r="K119" t="s">
        <v>29</v>
      </c>
      <c r="L119" t="s">
        <v>256</v>
      </c>
      <c r="M119" t="s">
        <v>257</v>
      </c>
      <c r="N119" t="s">
        <v>299</v>
      </c>
    </row>
    <row r="120" spans="1:14" x14ac:dyDescent="0.25">
      <c r="A120">
        <v>88</v>
      </c>
      <c r="B120">
        <v>58</v>
      </c>
      <c r="C120" t="s">
        <v>503</v>
      </c>
      <c r="D120" t="s">
        <v>504</v>
      </c>
      <c r="E120">
        <v>31</v>
      </c>
      <c r="F120">
        <v>8</v>
      </c>
      <c r="G120">
        <v>0.78125</v>
      </c>
      <c r="H120">
        <v>-100</v>
      </c>
      <c r="I120">
        <v>-100</v>
      </c>
      <c r="J120">
        <v>99</v>
      </c>
      <c r="K120" t="s">
        <v>29</v>
      </c>
      <c r="L120" t="s">
        <v>256</v>
      </c>
      <c r="M120" t="s">
        <v>257</v>
      </c>
      <c r="N120" t="s">
        <v>250</v>
      </c>
    </row>
    <row r="121" spans="1:14" x14ac:dyDescent="0.25">
      <c r="C121" t="s">
        <v>505</v>
      </c>
      <c r="D121" t="s">
        <v>506</v>
      </c>
      <c r="E121">
        <v>39</v>
      </c>
      <c r="F121">
        <v>8</v>
      </c>
      <c r="G121">
        <v>0.78125</v>
      </c>
      <c r="H121">
        <v>-100</v>
      </c>
      <c r="I121">
        <v>-100</v>
      </c>
      <c r="J121">
        <v>99</v>
      </c>
      <c r="K121" t="s">
        <v>29</v>
      </c>
      <c r="L121" t="s">
        <v>256</v>
      </c>
      <c r="M121" t="s">
        <v>257</v>
      </c>
      <c r="N121" t="s">
        <v>299</v>
      </c>
    </row>
    <row r="122" spans="1:14" x14ac:dyDescent="0.25">
      <c r="A122">
        <v>89</v>
      </c>
      <c r="B122">
        <v>59</v>
      </c>
      <c r="C122" t="s">
        <v>507</v>
      </c>
      <c r="D122" t="s">
        <v>508</v>
      </c>
      <c r="E122">
        <v>31</v>
      </c>
      <c r="F122">
        <v>16</v>
      </c>
      <c r="G122">
        <v>10</v>
      </c>
      <c r="H122">
        <v>0</v>
      </c>
      <c r="I122">
        <v>0</v>
      </c>
      <c r="J122">
        <v>655350</v>
      </c>
      <c r="K122" t="s">
        <v>37</v>
      </c>
      <c r="L122">
        <v>10</v>
      </c>
      <c r="M122" t="s">
        <v>352</v>
      </c>
      <c r="N122" t="s">
        <v>243</v>
      </c>
    </row>
    <row r="123" spans="1:14" x14ac:dyDescent="0.25">
      <c r="A123">
        <v>90</v>
      </c>
      <c r="B123" t="s">
        <v>509</v>
      </c>
      <c r="C123" t="s">
        <v>510</v>
      </c>
      <c r="D123" t="s">
        <v>511</v>
      </c>
      <c r="E123">
        <v>31</v>
      </c>
      <c r="F123">
        <v>8</v>
      </c>
      <c r="G123">
        <v>0.3921568627</v>
      </c>
      <c r="H123">
        <v>0</v>
      </c>
      <c r="I123">
        <v>0</v>
      </c>
      <c r="J123">
        <v>100</v>
      </c>
      <c r="K123" t="s">
        <v>29</v>
      </c>
      <c r="L123" t="s">
        <v>248</v>
      </c>
      <c r="M123" t="s">
        <v>249</v>
      </c>
      <c r="N123" t="s">
        <v>250</v>
      </c>
    </row>
    <row r="124" spans="1:14" x14ac:dyDescent="0.25">
      <c r="A124">
        <v>91</v>
      </c>
      <c r="B124" t="s">
        <v>512</v>
      </c>
      <c r="C124" t="s">
        <v>513</v>
      </c>
      <c r="D124" t="s">
        <v>514</v>
      </c>
      <c r="E124">
        <v>31</v>
      </c>
      <c r="F124">
        <v>8</v>
      </c>
      <c r="G124">
        <v>0.3921568627</v>
      </c>
      <c r="H124">
        <v>0</v>
      </c>
      <c r="I124">
        <v>0</v>
      </c>
      <c r="J124">
        <v>100</v>
      </c>
      <c r="K124" t="s">
        <v>29</v>
      </c>
      <c r="L124" t="s">
        <v>248</v>
      </c>
      <c r="M124" t="s">
        <v>249</v>
      </c>
      <c r="N124" t="s">
        <v>250</v>
      </c>
    </row>
    <row r="125" spans="1:14" x14ac:dyDescent="0.25">
      <c r="A125">
        <v>92</v>
      </c>
      <c r="B125" t="s">
        <v>515</v>
      </c>
      <c r="C125" t="s">
        <v>516</v>
      </c>
      <c r="D125" t="s">
        <v>517</v>
      </c>
      <c r="E125">
        <v>31</v>
      </c>
      <c r="F125">
        <v>8</v>
      </c>
      <c r="G125">
        <v>1</v>
      </c>
      <c r="H125">
        <v>-40</v>
      </c>
      <c r="I125">
        <v>-40</v>
      </c>
      <c r="J125">
        <v>215</v>
      </c>
      <c r="K125" t="s">
        <v>31</v>
      </c>
      <c r="L125">
        <v>1</v>
      </c>
      <c r="M125" t="s">
        <v>253</v>
      </c>
      <c r="N125" t="s">
        <v>250</v>
      </c>
    </row>
    <row r="126" spans="1:14" x14ac:dyDescent="0.25">
      <c r="A126">
        <v>93</v>
      </c>
      <c r="B126" t="s">
        <v>518</v>
      </c>
      <c r="C126" t="s">
        <v>519</v>
      </c>
      <c r="D126" t="s">
        <v>520</v>
      </c>
      <c r="E126">
        <v>31</v>
      </c>
      <c r="F126">
        <v>16</v>
      </c>
      <c r="G126">
        <v>7.8125E-3</v>
      </c>
      <c r="H126">
        <v>-210</v>
      </c>
      <c r="I126">
        <v>-210</v>
      </c>
      <c r="J126">
        <v>302</v>
      </c>
      <c r="K126" t="s">
        <v>131</v>
      </c>
      <c r="L126" t="s">
        <v>521</v>
      </c>
      <c r="M126" t="s">
        <v>522</v>
      </c>
      <c r="N126" t="s">
        <v>243</v>
      </c>
    </row>
    <row r="127" spans="1:14" x14ac:dyDescent="0.25">
      <c r="A127">
        <v>94</v>
      </c>
      <c r="B127" t="s">
        <v>523</v>
      </c>
      <c r="C127" t="s">
        <v>524</v>
      </c>
      <c r="D127" t="s">
        <v>525</v>
      </c>
      <c r="E127">
        <v>31</v>
      </c>
      <c r="F127">
        <v>16</v>
      </c>
      <c r="G127">
        <v>0.05</v>
      </c>
      <c r="H127">
        <v>0</v>
      </c>
      <c r="I127">
        <v>0</v>
      </c>
      <c r="J127">
        <v>3277</v>
      </c>
      <c r="K127" t="s">
        <v>133</v>
      </c>
      <c r="L127">
        <v>0.05</v>
      </c>
      <c r="M127" t="s">
        <v>526</v>
      </c>
      <c r="N127" t="s">
        <v>243</v>
      </c>
    </row>
    <row r="128" spans="1:14" x14ac:dyDescent="0.25">
      <c r="A128">
        <v>95</v>
      </c>
      <c r="B128" t="s">
        <v>527</v>
      </c>
      <c r="C128" t="s">
        <v>528</v>
      </c>
      <c r="D128" t="s">
        <v>529</v>
      </c>
      <c r="E128">
        <v>31</v>
      </c>
      <c r="F128">
        <v>8</v>
      </c>
      <c r="G128">
        <v>1</v>
      </c>
      <c r="H128">
        <v>0</v>
      </c>
      <c r="K128" t="s">
        <v>237</v>
      </c>
      <c r="L128">
        <v>1</v>
      </c>
      <c r="N128" t="s">
        <v>250</v>
      </c>
    </row>
    <row r="129" spans="1:14" x14ac:dyDescent="0.25">
      <c r="A129">
        <v>96</v>
      </c>
      <c r="B129">
        <v>60</v>
      </c>
      <c r="C129" t="s">
        <v>530</v>
      </c>
      <c r="D129" t="s">
        <v>531</v>
      </c>
      <c r="E129">
        <v>31</v>
      </c>
      <c r="F129">
        <v>32</v>
      </c>
      <c r="G129">
        <v>1</v>
      </c>
      <c r="H129">
        <v>0</v>
      </c>
      <c r="K129" t="s">
        <v>237</v>
      </c>
      <c r="L129">
        <v>1</v>
      </c>
      <c r="N129" t="s">
        <v>238</v>
      </c>
    </row>
    <row r="130" spans="1:14" x14ac:dyDescent="0.25">
      <c r="A130">
        <v>97</v>
      </c>
      <c r="B130">
        <v>61</v>
      </c>
      <c r="C130" t="s">
        <v>532</v>
      </c>
      <c r="D130" t="s">
        <v>533</v>
      </c>
      <c r="E130">
        <v>31</v>
      </c>
      <c r="F130">
        <v>8</v>
      </c>
      <c r="G130">
        <v>1</v>
      </c>
      <c r="H130">
        <v>-125</v>
      </c>
      <c r="I130">
        <v>-125</v>
      </c>
      <c r="J130">
        <v>130</v>
      </c>
      <c r="K130" t="s">
        <v>29</v>
      </c>
      <c r="L130">
        <v>1</v>
      </c>
      <c r="M130" t="s">
        <v>534</v>
      </c>
      <c r="N130" t="s">
        <v>250</v>
      </c>
    </row>
    <row r="131" spans="1:14" x14ac:dyDescent="0.25">
      <c r="A131">
        <v>98</v>
      </c>
      <c r="B131">
        <v>62</v>
      </c>
      <c r="C131" t="s">
        <v>535</v>
      </c>
      <c r="D131" t="s">
        <v>536</v>
      </c>
      <c r="E131">
        <v>31</v>
      </c>
      <c r="F131">
        <v>8</v>
      </c>
      <c r="G131">
        <v>1</v>
      </c>
      <c r="H131">
        <v>-125</v>
      </c>
      <c r="I131">
        <v>-125</v>
      </c>
      <c r="J131">
        <v>130</v>
      </c>
      <c r="K131" t="s">
        <v>29</v>
      </c>
      <c r="L131">
        <v>1</v>
      </c>
      <c r="M131" t="s">
        <v>534</v>
      </c>
      <c r="N131" t="s">
        <v>250</v>
      </c>
    </row>
    <row r="132" spans="1:14" x14ac:dyDescent="0.25">
      <c r="A132">
        <v>99</v>
      </c>
      <c r="B132">
        <v>63</v>
      </c>
      <c r="C132" t="s">
        <v>537</v>
      </c>
      <c r="D132" t="s">
        <v>538</v>
      </c>
      <c r="E132">
        <v>31</v>
      </c>
      <c r="F132">
        <v>16</v>
      </c>
      <c r="G132">
        <v>1</v>
      </c>
      <c r="H132">
        <v>0</v>
      </c>
      <c r="I132">
        <v>0</v>
      </c>
      <c r="J132">
        <v>65535</v>
      </c>
      <c r="K132" t="s">
        <v>139</v>
      </c>
      <c r="L132">
        <v>1</v>
      </c>
      <c r="M132" t="s">
        <v>342</v>
      </c>
      <c r="N132" t="s">
        <v>243</v>
      </c>
    </row>
    <row r="133" spans="1:14" x14ac:dyDescent="0.25">
      <c r="A133">
        <v>100</v>
      </c>
      <c r="B133">
        <v>64</v>
      </c>
      <c r="C133" t="s">
        <v>539</v>
      </c>
      <c r="D133" t="s">
        <v>540</v>
      </c>
      <c r="E133">
        <v>31</v>
      </c>
      <c r="F133">
        <v>8</v>
      </c>
      <c r="G133">
        <v>1</v>
      </c>
      <c r="H133">
        <v>-125</v>
      </c>
      <c r="I133">
        <v>-125</v>
      </c>
      <c r="J133">
        <v>130</v>
      </c>
      <c r="K133" t="s">
        <v>29</v>
      </c>
      <c r="L133">
        <v>1</v>
      </c>
      <c r="M133" t="s">
        <v>534</v>
      </c>
      <c r="N133" t="s">
        <v>250</v>
      </c>
    </row>
    <row r="134" spans="1:14" x14ac:dyDescent="0.25">
      <c r="C134" t="s">
        <v>541</v>
      </c>
      <c r="D134" t="s">
        <v>542</v>
      </c>
      <c r="E134">
        <v>39</v>
      </c>
      <c r="F134">
        <v>8</v>
      </c>
      <c r="G134">
        <v>1</v>
      </c>
      <c r="H134">
        <v>-125</v>
      </c>
      <c r="I134">
        <v>-125</v>
      </c>
      <c r="J134">
        <v>130</v>
      </c>
      <c r="K134" t="s">
        <v>29</v>
      </c>
      <c r="L134">
        <v>1</v>
      </c>
      <c r="M134" t="s">
        <v>534</v>
      </c>
      <c r="N134" t="s">
        <v>299</v>
      </c>
    </row>
    <row r="135" spans="1:14" x14ac:dyDescent="0.25">
      <c r="C135" t="s">
        <v>543</v>
      </c>
      <c r="D135" t="s">
        <v>544</v>
      </c>
      <c r="E135">
        <v>47</v>
      </c>
      <c r="F135">
        <v>8</v>
      </c>
      <c r="G135">
        <v>1</v>
      </c>
      <c r="H135">
        <v>-125</v>
      </c>
      <c r="I135">
        <v>-125</v>
      </c>
      <c r="J135">
        <v>130</v>
      </c>
      <c r="K135" t="s">
        <v>29</v>
      </c>
      <c r="L135">
        <v>1</v>
      </c>
      <c r="M135" t="s">
        <v>534</v>
      </c>
      <c r="N135" t="s">
        <v>474</v>
      </c>
    </row>
    <row r="136" spans="1:14" x14ac:dyDescent="0.25">
      <c r="C136" t="s">
        <v>545</v>
      </c>
      <c r="D136" t="s">
        <v>546</v>
      </c>
      <c r="E136">
        <v>55</v>
      </c>
      <c r="F136">
        <v>8</v>
      </c>
      <c r="G136">
        <v>1</v>
      </c>
      <c r="H136">
        <v>-125</v>
      </c>
      <c r="I136">
        <v>-125</v>
      </c>
      <c r="J136">
        <v>130</v>
      </c>
      <c r="K136" t="s">
        <v>29</v>
      </c>
      <c r="L136">
        <v>1</v>
      </c>
      <c r="M136" t="s">
        <v>534</v>
      </c>
      <c r="N136" t="s">
        <v>478</v>
      </c>
    </row>
    <row r="137" spans="1:14" x14ac:dyDescent="0.25">
      <c r="C137" t="s">
        <v>547</v>
      </c>
      <c r="D137" t="s">
        <v>548</v>
      </c>
      <c r="E137">
        <v>63</v>
      </c>
      <c r="F137">
        <v>8</v>
      </c>
      <c r="G137">
        <v>1</v>
      </c>
      <c r="H137">
        <v>-125</v>
      </c>
      <c r="I137">
        <v>-125</v>
      </c>
      <c r="J137">
        <v>130</v>
      </c>
      <c r="K137" t="s">
        <v>29</v>
      </c>
      <c r="L137">
        <v>1</v>
      </c>
      <c r="M137" t="s">
        <v>534</v>
      </c>
      <c r="N137" t="s">
        <v>549</v>
      </c>
    </row>
    <row r="138" spans="1:14" x14ac:dyDescent="0.25">
      <c r="A138">
        <v>101</v>
      </c>
      <c r="B138">
        <v>65</v>
      </c>
      <c r="C138" t="s">
        <v>550</v>
      </c>
      <c r="D138" t="s">
        <v>551</v>
      </c>
      <c r="E138">
        <v>31</v>
      </c>
      <c r="F138">
        <v>8</v>
      </c>
      <c r="G138">
        <v>1</v>
      </c>
      <c r="H138">
        <v>0</v>
      </c>
      <c r="K138" t="s">
        <v>237</v>
      </c>
      <c r="L138">
        <v>1</v>
      </c>
      <c r="N138" t="s">
        <v>250</v>
      </c>
    </row>
    <row r="139" spans="1:14" x14ac:dyDescent="0.25">
      <c r="A139">
        <v>102</v>
      </c>
      <c r="B139">
        <v>66</v>
      </c>
      <c r="C139" t="s">
        <v>552</v>
      </c>
      <c r="D139" t="s">
        <v>553</v>
      </c>
      <c r="E139">
        <v>39</v>
      </c>
      <c r="F139">
        <v>16</v>
      </c>
      <c r="G139">
        <v>3.125E-2</v>
      </c>
      <c r="H139">
        <v>0</v>
      </c>
      <c r="I139">
        <v>0</v>
      </c>
      <c r="J139">
        <v>2048</v>
      </c>
      <c r="K139" t="s">
        <v>47</v>
      </c>
      <c r="L139" t="s">
        <v>554</v>
      </c>
      <c r="M139" t="s">
        <v>555</v>
      </c>
      <c r="N139" t="s">
        <v>556</v>
      </c>
    </row>
    <row r="140" spans="1:14" x14ac:dyDescent="0.25">
      <c r="C140" t="s">
        <v>557</v>
      </c>
      <c r="D140" t="s">
        <v>558</v>
      </c>
      <c r="E140">
        <v>55</v>
      </c>
      <c r="F140">
        <v>16</v>
      </c>
      <c r="G140">
        <v>3.125E-2</v>
      </c>
      <c r="H140">
        <v>0</v>
      </c>
      <c r="I140">
        <v>0</v>
      </c>
      <c r="J140">
        <v>2048</v>
      </c>
      <c r="K140" t="s">
        <v>47</v>
      </c>
      <c r="L140" t="s">
        <v>554</v>
      </c>
      <c r="M140" t="s">
        <v>555</v>
      </c>
      <c r="N140" t="s">
        <v>559</v>
      </c>
    </row>
    <row r="141" spans="1:14" x14ac:dyDescent="0.25">
      <c r="A141">
        <v>103</v>
      </c>
      <c r="B141">
        <v>67</v>
      </c>
      <c r="C141" t="s">
        <v>560</v>
      </c>
      <c r="D141" t="s">
        <v>561</v>
      </c>
      <c r="E141">
        <v>39</v>
      </c>
      <c r="F141">
        <v>8</v>
      </c>
      <c r="G141">
        <v>1</v>
      </c>
      <c r="H141">
        <v>-40</v>
      </c>
      <c r="I141">
        <v>-40</v>
      </c>
      <c r="J141">
        <v>215</v>
      </c>
      <c r="K141" t="s">
        <v>31</v>
      </c>
      <c r="L141">
        <v>1</v>
      </c>
      <c r="M141" t="s">
        <v>253</v>
      </c>
      <c r="N141" t="s">
        <v>299</v>
      </c>
    </row>
    <row r="142" spans="1:14" x14ac:dyDescent="0.25">
      <c r="C142" t="s">
        <v>562</v>
      </c>
      <c r="D142" t="s">
        <v>563</v>
      </c>
      <c r="E142">
        <v>47</v>
      </c>
      <c r="F142">
        <v>8</v>
      </c>
      <c r="G142">
        <v>1</v>
      </c>
      <c r="H142">
        <v>-40</v>
      </c>
      <c r="I142">
        <v>-40</v>
      </c>
      <c r="J142">
        <v>215</v>
      </c>
      <c r="K142" t="s">
        <v>31</v>
      </c>
      <c r="L142">
        <v>1</v>
      </c>
      <c r="M142" t="s">
        <v>253</v>
      </c>
      <c r="N142" t="s">
        <v>474</v>
      </c>
    </row>
    <row r="143" spans="1:14" x14ac:dyDescent="0.25">
      <c r="A143">
        <v>104</v>
      </c>
      <c r="B143">
        <v>68</v>
      </c>
      <c r="C143" t="s">
        <v>564</v>
      </c>
      <c r="D143" t="s">
        <v>565</v>
      </c>
      <c r="E143">
        <v>39</v>
      </c>
      <c r="F143">
        <v>8</v>
      </c>
      <c r="G143">
        <v>1</v>
      </c>
      <c r="H143">
        <v>-40</v>
      </c>
      <c r="I143">
        <v>-40</v>
      </c>
      <c r="J143">
        <v>215</v>
      </c>
      <c r="K143" t="s">
        <v>31</v>
      </c>
      <c r="L143">
        <v>1</v>
      </c>
      <c r="M143" t="s">
        <v>253</v>
      </c>
      <c r="N143" t="s">
        <v>299</v>
      </c>
    </row>
    <row r="144" spans="1:14" x14ac:dyDescent="0.25">
      <c r="C144" t="s">
        <v>566</v>
      </c>
      <c r="D144" t="s">
        <v>567</v>
      </c>
      <c r="E144">
        <v>47</v>
      </c>
      <c r="F144">
        <v>8</v>
      </c>
      <c r="G144">
        <v>1</v>
      </c>
      <c r="H144">
        <v>-40</v>
      </c>
      <c r="I144">
        <v>-40</v>
      </c>
      <c r="J144">
        <v>215</v>
      </c>
      <c r="K144" t="s">
        <v>31</v>
      </c>
      <c r="L144">
        <v>1</v>
      </c>
      <c r="M144" t="s">
        <v>253</v>
      </c>
      <c r="N144" t="s">
        <v>474</v>
      </c>
    </row>
    <row r="145" spans="1:4" x14ac:dyDescent="0.25">
      <c r="A145">
        <v>105</v>
      </c>
      <c r="B145">
        <v>69</v>
      </c>
      <c r="C145" t="s">
        <v>568</v>
      </c>
      <c r="D145" t="s">
        <v>569</v>
      </c>
    </row>
    <row r="146" spans="1:4" x14ac:dyDescent="0.25">
      <c r="A146">
        <v>106</v>
      </c>
      <c r="B146" t="s">
        <v>570</v>
      </c>
      <c r="C146" t="s">
        <v>571</v>
      </c>
      <c r="D146" t="s">
        <v>572</v>
      </c>
    </row>
    <row r="147" spans="1:4" x14ac:dyDescent="0.25">
      <c r="A147">
        <v>107</v>
      </c>
      <c r="B147" t="s">
        <v>573</v>
      </c>
      <c r="C147" t="s">
        <v>574</v>
      </c>
      <c r="D147" t="s">
        <v>575</v>
      </c>
    </row>
    <row r="148" spans="1:4" x14ac:dyDescent="0.25">
      <c r="A148">
        <v>108</v>
      </c>
      <c r="B148" t="s">
        <v>576</v>
      </c>
      <c r="C148" t="s">
        <v>577</v>
      </c>
      <c r="D148" t="s">
        <v>578</v>
      </c>
    </row>
    <row r="149" spans="1:4" x14ac:dyDescent="0.25">
      <c r="A149">
        <v>109</v>
      </c>
      <c r="B149" t="s">
        <v>579</v>
      </c>
      <c r="C149" t="s">
        <v>580</v>
      </c>
      <c r="D149" t="s">
        <v>581</v>
      </c>
    </row>
    <row r="150" spans="1:4" x14ac:dyDescent="0.25">
      <c r="A150">
        <v>110</v>
      </c>
      <c r="B150" t="s">
        <v>582</v>
      </c>
      <c r="C150" t="s">
        <v>583</v>
      </c>
      <c r="D150" t="s">
        <v>584</v>
      </c>
    </row>
    <row r="151" spans="1:4" x14ac:dyDescent="0.25">
      <c r="A151">
        <v>111</v>
      </c>
      <c r="B151" t="s">
        <v>585</v>
      </c>
      <c r="C151" t="s">
        <v>586</v>
      </c>
      <c r="D151" t="s">
        <v>587</v>
      </c>
    </row>
    <row r="152" spans="1:4" x14ac:dyDescent="0.25">
      <c r="A152">
        <v>112</v>
      </c>
      <c r="B152">
        <v>70</v>
      </c>
      <c r="C152" t="s">
        <v>588</v>
      </c>
      <c r="D152" t="s">
        <v>589</v>
      </c>
    </row>
    <row r="153" spans="1:4" x14ac:dyDescent="0.25">
      <c r="A153">
        <v>113</v>
      </c>
      <c r="B153">
        <v>71</v>
      </c>
      <c r="C153" t="s">
        <v>590</v>
      </c>
      <c r="D153" t="s">
        <v>591</v>
      </c>
    </row>
    <row r="154" spans="1:4" x14ac:dyDescent="0.25">
      <c r="A154">
        <v>114</v>
      </c>
      <c r="B154">
        <v>72</v>
      </c>
      <c r="C154" t="s">
        <v>592</v>
      </c>
      <c r="D154" t="s">
        <v>593</v>
      </c>
    </row>
    <row r="155" spans="1:4" x14ac:dyDescent="0.25">
      <c r="A155">
        <v>115</v>
      </c>
      <c r="B155">
        <v>73</v>
      </c>
      <c r="C155" t="s">
        <v>594</v>
      </c>
      <c r="D155" t="s">
        <v>595</v>
      </c>
    </row>
    <row r="156" spans="1:4" x14ac:dyDescent="0.25">
      <c r="A156">
        <v>116</v>
      </c>
      <c r="B156">
        <v>74</v>
      </c>
      <c r="C156" t="s">
        <v>596</v>
      </c>
      <c r="D156" t="s">
        <v>597</v>
      </c>
    </row>
    <row r="157" spans="1:4" x14ac:dyDescent="0.25">
      <c r="A157">
        <v>117</v>
      </c>
      <c r="B157">
        <v>75</v>
      </c>
      <c r="C157" t="s">
        <v>598</v>
      </c>
      <c r="D157" t="s">
        <v>599</v>
      </c>
    </row>
    <row r="158" spans="1:4" x14ac:dyDescent="0.25">
      <c r="A158">
        <v>118</v>
      </c>
      <c r="B158">
        <v>76</v>
      </c>
      <c r="C158" t="s">
        <v>598</v>
      </c>
      <c r="D158" t="s">
        <v>599</v>
      </c>
    </row>
    <row r="159" spans="1:4" x14ac:dyDescent="0.25">
      <c r="A159">
        <v>119</v>
      </c>
      <c r="B159">
        <v>77</v>
      </c>
      <c r="C159" t="s">
        <v>600</v>
      </c>
      <c r="D159" t="s">
        <v>601</v>
      </c>
    </row>
    <row r="160" spans="1:4" x14ac:dyDescent="0.25">
      <c r="A160">
        <v>120</v>
      </c>
      <c r="B160">
        <v>78</v>
      </c>
      <c r="C160" t="s">
        <v>602</v>
      </c>
      <c r="D160" t="s">
        <v>603</v>
      </c>
    </row>
    <row r="161" spans="1:14" x14ac:dyDescent="0.25">
      <c r="A161">
        <v>121</v>
      </c>
      <c r="B161">
        <v>79</v>
      </c>
      <c r="C161" t="s">
        <v>604</v>
      </c>
      <c r="D161" t="s">
        <v>605</v>
      </c>
    </row>
    <row r="162" spans="1:14" x14ac:dyDescent="0.25">
      <c r="A162">
        <v>122</v>
      </c>
      <c r="B162" t="s">
        <v>606</v>
      </c>
      <c r="C162" t="s">
        <v>607</v>
      </c>
      <c r="D162" t="s">
        <v>608</v>
      </c>
    </row>
    <row r="163" spans="1:14" x14ac:dyDescent="0.25">
      <c r="A163">
        <v>123</v>
      </c>
      <c r="B163" t="s">
        <v>609</v>
      </c>
      <c r="C163" t="s">
        <v>610</v>
      </c>
      <c r="D163" t="s">
        <v>611</v>
      </c>
    </row>
    <row r="164" spans="1:14" x14ac:dyDescent="0.25">
      <c r="A164">
        <v>124</v>
      </c>
      <c r="B164" t="s">
        <v>612</v>
      </c>
      <c r="C164" t="s">
        <v>613</v>
      </c>
      <c r="D164" t="s">
        <v>614</v>
      </c>
      <c r="E164">
        <v>31</v>
      </c>
      <c r="F164">
        <v>16</v>
      </c>
      <c r="G164">
        <v>0.1</v>
      </c>
      <c r="H164">
        <v>-40</v>
      </c>
      <c r="I164">
        <v>-40</v>
      </c>
      <c r="J164">
        <v>6514</v>
      </c>
      <c r="K164" t="s">
        <v>31</v>
      </c>
      <c r="L164">
        <v>0.1</v>
      </c>
      <c r="M164" t="s">
        <v>420</v>
      </c>
      <c r="N164" t="s">
        <v>243</v>
      </c>
    </row>
    <row r="165" spans="1:14" x14ac:dyDescent="0.25">
      <c r="A165">
        <v>125</v>
      </c>
      <c r="B165" t="s">
        <v>615</v>
      </c>
      <c r="C165" t="s">
        <v>616</v>
      </c>
      <c r="D165" t="s">
        <v>617</v>
      </c>
    </row>
    <row r="166" spans="1:14" x14ac:dyDescent="0.25">
      <c r="A166">
        <v>126</v>
      </c>
      <c r="B166" t="s">
        <v>618</v>
      </c>
      <c r="C166" t="s">
        <v>619</v>
      </c>
      <c r="D166" t="s">
        <v>620</v>
      </c>
    </row>
    <row r="167" spans="1:14" x14ac:dyDescent="0.25">
      <c r="A167">
        <v>127</v>
      </c>
      <c r="B167" t="s">
        <v>621</v>
      </c>
      <c r="C167" t="s">
        <v>622</v>
      </c>
      <c r="D167" t="s">
        <v>623</v>
      </c>
      <c r="K167" t="s">
        <v>61</v>
      </c>
    </row>
    <row r="168" spans="1:14" x14ac:dyDescent="0.25">
      <c r="A168">
        <v>128</v>
      </c>
      <c r="B168">
        <v>80</v>
      </c>
      <c r="C168" t="s">
        <v>624</v>
      </c>
      <c r="D168" t="s">
        <v>625</v>
      </c>
      <c r="E168">
        <v>31</v>
      </c>
      <c r="F168">
        <v>32</v>
      </c>
      <c r="G168">
        <v>1</v>
      </c>
      <c r="H168">
        <v>0</v>
      </c>
      <c r="K168" t="s">
        <v>237</v>
      </c>
      <c r="L168">
        <v>1</v>
      </c>
      <c r="N168" t="s">
        <v>238</v>
      </c>
    </row>
    <row r="169" spans="1:14" x14ac:dyDescent="0.25">
      <c r="A169">
        <v>129</v>
      </c>
      <c r="B169">
        <v>81</v>
      </c>
      <c r="C169" t="s">
        <v>626</v>
      </c>
      <c r="D169" t="s">
        <v>627</v>
      </c>
    </row>
    <row r="170" spans="1:14" x14ac:dyDescent="0.25">
      <c r="A170">
        <v>130</v>
      </c>
      <c r="B170">
        <v>82</v>
      </c>
      <c r="C170" t="s">
        <v>626</v>
      </c>
      <c r="D170" t="s">
        <v>627</v>
      </c>
    </row>
    <row r="171" spans="1:14" x14ac:dyDescent="0.25">
      <c r="A171">
        <v>131</v>
      </c>
      <c r="B171">
        <v>83</v>
      </c>
      <c r="C171" t="s">
        <v>628</v>
      </c>
      <c r="D171" t="s">
        <v>629</v>
      </c>
    </row>
    <row r="172" spans="1:14" x14ac:dyDescent="0.25">
      <c r="A172">
        <v>132</v>
      </c>
      <c r="B172">
        <v>84</v>
      </c>
      <c r="C172" t="s">
        <v>630</v>
      </c>
      <c r="D172" t="s">
        <v>631</v>
      </c>
    </row>
    <row r="173" spans="1:14" x14ac:dyDescent="0.25">
      <c r="A173">
        <v>133</v>
      </c>
      <c r="B173">
        <v>85</v>
      </c>
      <c r="C173" t="s">
        <v>632</v>
      </c>
      <c r="D173" t="s">
        <v>633</v>
      </c>
    </row>
    <row r="174" spans="1:14" x14ac:dyDescent="0.25">
      <c r="A174">
        <v>134</v>
      </c>
      <c r="B174">
        <v>86</v>
      </c>
      <c r="C174" t="s">
        <v>634</v>
      </c>
      <c r="D174" t="s">
        <v>635</v>
      </c>
    </row>
    <row r="175" spans="1:14" x14ac:dyDescent="0.25">
      <c r="A175">
        <v>135</v>
      </c>
      <c r="B175">
        <v>87</v>
      </c>
      <c r="C175" t="s">
        <v>636</v>
      </c>
      <c r="D175" t="s">
        <v>269</v>
      </c>
    </row>
    <row r="176" spans="1:14" x14ac:dyDescent="0.25">
      <c r="A176">
        <v>136</v>
      </c>
      <c r="B176">
        <v>88</v>
      </c>
      <c r="C176" t="s">
        <v>637</v>
      </c>
      <c r="D176" t="s">
        <v>638</v>
      </c>
    </row>
    <row r="177" spans="1:14" x14ac:dyDescent="0.25">
      <c r="A177">
        <v>137</v>
      </c>
      <c r="B177">
        <v>89</v>
      </c>
      <c r="C177" t="s">
        <v>639</v>
      </c>
      <c r="D177" t="s">
        <v>640</v>
      </c>
    </row>
    <row r="178" spans="1:14" x14ac:dyDescent="0.25">
      <c r="A178">
        <v>138</v>
      </c>
      <c r="B178" t="s">
        <v>641</v>
      </c>
      <c r="C178" t="s">
        <v>642</v>
      </c>
      <c r="D178" t="s">
        <v>643</v>
      </c>
    </row>
    <row r="179" spans="1:14" x14ac:dyDescent="0.25">
      <c r="A179">
        <v>139</v>
      </c>
      <c r="B179" t="s">
        <v>644</v>
      </c>
      <c r="C179" t="s">
        <v>645</v>
      </c>
      <c r="D179" t="s">
        <v>646</v>
      </c>
    </row>
    <row r="180" spans="1:14" x14ac:dyDescent="0.25">
      <c r="A180">
        <v>140</v>
      </c>
      <c r="B180" t="s">
        <v>647</v>
      </c>
      <c r="C180" t="s">
        <v>648</v>
      </c>
      <c r="D180" t="s">
        <v>649</v>
      </c>
    </row>
    <row r="181" spans="1:14" x14ac:dyDescent="0.25">
      <c r="A181">
        <v>141</v>
      </c>
      <c r="B181" t="s">
        <v>650</v>
      </c>
      <c r="C181" t="s">
        <v>651</v>
      </c>
      <c r="D181" t="s">
        <v>652</v>
      </c>
      <c r="E181">
        <v>31</v>
      </c>
      <c r="F181">
        <v>8</v>
      </c>
      <c r="G181">
        <v>0.3921568627</v>
      </c>
      <c r="H181">
        <v>0</v>
      </c>
      <c r="I181">
        <v>0</v>
      </c>
      <c r="J181">
        <v>100</v>
      </c>
      <c r="K181" t="s">
        <v>29</v>
      </c>
      <c r="L181" t="s">
        <v>248</v>
      </c>
      <c r="M181" t="s">
        <v>249</v>
      </c>
      <c r="N181" t="s">
        <v>250</v>
      </c>
    </row>
    <row r="182" spans="1:14" x14ac:dyDescent="0.25">
      <c r="A182">
        <v>142</v>
      </c>
      <c r="B182" t="s">
        <v>653</v>
      </c>
      <c r="C182" t="s">
        <v>654</v>
      </c>
      <c r="D182" t="s">
        <v>655</v>
      </c>
      <c r="E182">
        <v>31</v>
      </c>
      <c r="F182">
        <v>8</v>
      </c>
      <c r="G182">
        <v>1</v>
      </c>
      <c r="H182">
        <v>-125</v>
      </c>
      <c r="I182">
        <v>-125</v>
      </c>
      <c r="J182">
        <v>130</v>
      </c>
      <c r="K182" t="s">
        <v>29</v>
      </c>
      <c r="L182">
        <v>1</v>
      </c>
      <c r="M182" t="s">
        <v>534</v>
      </c>
      <c r="N182" t="s">
        <v>250</v>
      </c>
    </row>
    <row r="183" spans="1:14" x14ac:dyDescent="0.25">
      <c r="A183">
        <v>143</v>
      </c>
      <c r="B183" t="s">
        <v>656</v>
      </c>
      <c r="C183" t="s">
        <v>657</v>
      </c>
      <c r="D183" t="s">
        <v>658</v>
      </c>
    </row>
    <row r="184" spans="1:14" x14ac:dyDescent="0.25">
      <c r="A184">
        <v>144</v>
      </c>
      <c r="B184">
        <v>90</v>
      </c>
      <c r="C184" t="s">
        <v>659</v>
      </c>
      <c r="D184" t="s">
        <v>660</v>
      </c>
      <c r="K184" t="s">
        <v>661</v>
      </c>
    </row>
    <row r="185" spans="1:14" x14ac:dyDescent="0.25">
      <c r="A185">
        <v>145</v>
      </c>
      <c r="B185">
        <v>91</v>
      </c>
      <c r="C185" t="s">
        <v>659</v>
      </c>
      <c r="D185" t="s">
        <v>660</v>
      </c>
      <c r="K185" t="s">
        <v>661</v>
      </c>
    </row>
    <row r="186" spans="1:14" x14ac:dyDescent="0.25">
      <c r="A186">
        <v>146</v>
      </c>
      <c r="B186">
        <v>92</v>
      </c>
      <c r="C186" t="s">
        <v>662</v>
      </c>
      <c r="D186" t="s">
        <v>663</v>
      </c>
    </row>
    <row r="187" spans="1:14" x14ac:dyDescent="0.25">
      <c r="A187">
        <v>147</v>
      </c>
      <c r="B187">
        <v>93</v>
      </c>
      <c r="C187" t="s">
        <v>664</v>
      </c>
      <c r="D187" t="s">
        <v>665</v>
      </c>
      <c r="K187" t="s">
        <v>661</v>
      </c>
    </row>
    <row r="188" spans="1:14" x14ac:dyDescent="0.25">
      <c r="A188">
        <v>148</v>
      </c>
      <c r="B188">
        <v>94</v>
      </c>
      <c r="C188" t="s">
        <v>666</v>
      </c>
      <c r="D188" t="s">
        <v>667</v>
      </c>
    </row>
    <row r="189" spans="1:14" x14ac:dyDescent="0.25">
      <c r="A189">
        <v>152</v>
      </c>
      <c r="B189">
        <v>98</v>
      </c>
      <c r="C189" t="s">
        <v>668</v>
      </c>
      <c r="D189" t="s">
        <v>669</v>
      </c>
    </row>
    <row r="190" spans="1:14" x14ac:dyDescent="0.25">
      <c r="A190">
        <v>153</v>
      </c>
      <c r="B190">
        <v>99</v>
      </c>
      <c r="C190" t="s">
        <v>668</v>
      </c>
      <c r="D190" t="s">
        <v>669</v>
      </c>
    </row>
    <row r="191" spans="1:14" x14ac:dyDescent="0.25">
      <c r="A191">
        <v>154</v>
      </c>
      <c r="B191" t="s">
        <v>670</v>
      </c>
      <c r="C191" t="s">
        <v>671</v>
      </c>
      <c r="D191" t="s">
        <v>672</v>
      </c>
    </row>
    <row r="192" spans="1:14" x14ac:dyDescent="0.25">
      <c r="A192">
        <v>155</v>
      </c>
      <c r="B192" t="s">
        <v>673</v>
      </c>
      <c r="C192" t="s">
        <v>674</v>
      </c>
      <c r="D192" t="s">
        <v>675</v>
      </c>
    </row>
    <row r="193" spans="1:14" x14ac:dyDescent="0.25">
      <c r="A193">
        <v>156</v>
      </c>
      <c r="B193" t="s">
        <v>676</v>
      </c>
      <c r="C193" t="s">
        <v>677</v>
      </c>
      <c r="D193" t="s">
        <v>678</v>
      </c>
    </row>
    <row r="194" spans="1:14" x14ac:dyDescent="0.25">
      <c r="A194">
        <v>157</v>
      </c>
      <c r="B194" t="s">
        <v>679</v>
      </c>
      <c r="C194" t="s">
        <v>524</v>
      </c>
      <c r="D194" t="s">
        <v>525</v>
      </c>
      <c r="K194" t="s">
        <v>117</v>
      </c>
    </row>
    <row r="195" spans="1:14" x14ac:dyDescent="0.25">
      <c r="A195">
        <v>158</v>
      </c>
      <c r="B195" t="s">
        <v>680</v>
      </c>
      <c r="C195" t="s">
        <v>681</v>
      </c>
      <c r="D195" t="s">
        <v>682</v>
      </c>
      <c r="K195" t="s">
        <v>683</v>
      </c>
    </row>
    <row r="196" spans="1:14" x14ac:dyDescent="0.25">
      <c r="A196">
        <v>159</v>
      </c>
      <c r="B196" t="s">
        <v>684</v>
      </c>
      <c r="C196" t="s">
        <v>685</v>
      </c>
      <c r="D196" t="s">
        <v>686</v>
      </c>
    </row>
    <row r="197" spans="1:14" x14ac:dyDescent="0.25">
      <c r="A197">
        <v>160</v>
      </c>
      <c r="B197" t="s">
        <v>687</v>
      </c>
      <c r="C197" t="s">
        <v>688</v>
      </c>
      <c r="D197" t="s">
        <v>689</v>
      </c>
      <c r="E197">
        <v>31</v>
      </c>
      <c r="F197">
        <v>32</v>
      </c>
      <c r="G197">
        <v>1</v>
      </c>
      <c r="H197">
        <v>0</v>
      </c>
      <c r="K197" t="s">
        <v>237</v>
      </c>
      <c r="L197">
        <v>1</v>
      </c>
      <c r="N197" t="s">
        <v>238</v>
      </c>
    </row>
    <row r="198" spans="1:14" x14ac:dyDescent="0.25">
      <c r="A198">
        <v>161</v>
      </c>
      <c r="B198" t="s">
        <v>690</v>
      </c>
      <c r="C198" t="s">
        <v>691</v>
      </c>
      <c r="D198" t="s">
        <v>692</v>
      </c>
      <c r="K198" t="s">
        <v>693</v>
      </c>
    </row>
    <row r="199" spans="1:14" x14ac:dyDescent="0.25">
      <c r="A199">
        <v>162</v>
      </c>
      <c r="B199" t="s">
        <v>694</v>
      </c>
      <c r="C199" t="s">
        <v>695</v>
      </c>
      <c r="D199" t="s">
        <v>696</v>
      </c>
      <c r="E199">
        <v>31</v>
      </c>
      <c r="F199">
        <v>16</v>
      </c>
      <c r="G199">
        <v>3.125E-2</v>
      </c>
      <c r="H199">
        <v>0</v>
      </c>
      <c r="I199">
        <v>0</v>
      </c>
      <c r="J199">
        <v>2048</v>
      </c>
      <c r="K199" t="s">
        <v>697</v>
      </c>
      <c r="L199" t="s">
        <v>554</v>
      </c>
      <c r="M199" t="s">
        <v>555</v>
      </c>
      <c r="N199" t="s">
        <v>243</v>
      </c>
    </row>
    <row r="200" spans="1:14" x14ac:dyDescent="0.25">
      <c r="A200">
        <v>163</v>
      </c>
      <c r="B200" t="s">
        <v>698</v>
      </c>
      <c r="C200" t="s">
        <v>699</v>
      </c>
      <c r="D200" t="s">
        <v>489</v>
      </c>
    </row>
    <row r="201" spans="1:14" x14ac:dyDescent="0.25">
      <c r="A201">
        <v>164</v>
      </c>
      <c r="B201" t="s">
        <v>700</v>
      </c>
      <c r="C201" t="s">
        <v>701</v>
      </c>
      <c r="D201" t="s">
        <v>702</v>
      </c>
      <c r="E201">
        <v>47</v>
      </c>
      <c r="F201">
        <v>16</v>
      </c>
      <c r="G201">
        <v>1E-3</v>
      </c>
      <c r="H201">
        <v>0</v>
      </c>
      <c r="I201">
        <v>0</v>
      </c>
      <c r="J201">
        <v>66</v>
      </c>
      <c r="K201" t="s">
        <v>68</v>
      </c>
      <c r="L201">
        <v>1E-3</v>
      </c>
      <c r="M201" t="s">
        <v>436</v>
      </c>
      <c r="N201" t="s">
        <v>358</v>
      </c>
    </row>
    <row r="202" spans="1:14" x14ac:dyDescent="0.25">
      <c r="A202">
        <v>165</v>
      </c>
      <c r="B202" t="s">
        <v>703</v>
      </c>
      <c r="C202" t="s">
        <v>704</v>
      </c>
      <c r="D202" t="s">
        <v>705</v>
      </c>
      <c r="E202">
        <v>39</v>
      </c>
      <c r="F202">
        <v>8</v>
      </c>
      <c r="G202">
        <v>0.5</v>
      </c>
      <c r="H202">
        <v>0</v>
      </c>
      <c r="I202">
        <v>0</v>
      </c>
      <c r="J202">
        <v>128</v>
      </c>
      <c r="K202" t="s">
        <v>29</v>
      </c>
      <c r="L202">
        <v>0.5</v>
      </c>
      <c r="M202" t="s">
        <v>706</v>
      </c>
      <c r="N202" t="s">
        <v>299</v>
      </c>
    </row>
    <row r="203" spans="1:14" x14ac:dyDescent="0.25">
      <c r="A203">
        <v>166</v>
      </c>
      <c r="B203" t="s">
        <v>707</v>
      </c>
      <c r="C203" t="s">
        <v>708</v>
      </c>
      <c r="D203" t="s">
        <v>708</v>
      </c>
      <c r="E203">
        <v>31</v>
      </c>
      <c r="F203">
        <v>32</v>
      </c>
      <c r="G203">
        <v>0.1</v>
      </c>
      <c r="H203">
        <v>0</v>
      </c>
      <c r="I203">
        <v>0</v>
      </c>
      <c r="J203" s="3">
        <v>429000000</v>
      </c>
      <c r="K203" t="s">
        <v>64</v>
      </c>
      <c r="L203">
        <v>0.1</v>
      </c>
      <c r="M203" t="s">
        <v>709</v>
      </c>
      <c r="N203" t="s">
        <v>238</v>
      </c>
    </row>
    <row r="204" spans="1:14" x14ac:dyDescent="0.25">
      <c r="A204">
        <v>167</v>
      </c>
      <c r="B204" t="s">
        <v>710</v>
      </c>
      <c r="C204" t="s">
        <v>711</v>
      </c>
      <c r="D204" t="s">
        <v>712</v>
      </c>
    </row>
    <row r="205" spans="1:14" x14ac:dyDescent="0.25">
      <c r="A205">
        <v>168</v>
      </c>
      <c r="B205" t="s">
        <v>713</v>
      </c>
      <c r="C205" t="s">
        <v>714</v>
      </c>
      <c r="D205" t="s">
        <v>715</v>
      </c>
    </row>
    <row r="206" spans="1:14" x14ac:dyDescent="0.25">
      <c r="A206">
        <v>192</v>
      </c>
      <c r="B206" t="s">
        <v>716</v>
      </c>
      <c r="C206" t="s">
        <v>717</v>
      </c>
      <c r="D206" t="s">
        <v>718</v>
      </c>
      <c r="E206">
        <v>31</v>
      </c>
      <c r="F206">
        <v>32</v>
      </c>
      <c r="G206">
        <v>1</v>
      </c>
      <c r="H206">
        <v>0</v>
      </c>
      <c r="K206" t="s">
        <v>237</v>
      </c>
      <c r="L206">
        <v>1</v>
      </c>
      <c r="N206" t="s">
        <v>238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7C022B717B146BA0446DF4C6D9077" ma:contentTypeVersion="21" ma:contentTypeDescription="Create a new document." ma:contentTypeScope="" ma:versionID="64a8051b3ff683193e1d1e68b89aa19c">
  <xsd:schema xmlns:xsd="http://www.w3.org/2001/XMLSchema" xmlns:xs="http://www.w3.org/2001/XMLSchema" xmlns:p="http://schemas.microsoft.com/office/2006/metadata/properties" xmlns:ns1="http://schemas.microsoft.com/sharepoint/v3" xmlns:ns2="6da562d3-036b-4d9a-a9c9-43c62c07c12f" xmlns:ns3="ee882f48-8b0a-4dc7-86d6-8b1563fa09e7" targetNamespace="http://schemas.microsoft.com/office/2006/metadata/properties" ma:root="true" ma:fieldsID="06d2c2257d17cc8151efb40a9fabcaf9" ns1:_="" ns2:_="" ns3:_="">
    <xsd:import namespace="http://schemas.microsoft.com/sharepoint/v3"/>
    <xsd:import namespace="6da562d3-036b-4d9a-a9c9-43c62c07c12f"/>
    <xsd:import namespace="ee882f48-8b0a-4dc7-86d6-8b1563fa09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562d3-036b-4d9a-a9c9-43c62c07c1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16875b50-84de-4a3a-aee8-351b89322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82f48-8b0a-4dc7-86d6-8b1563fa09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da562d3-036b-4d9a-a9c9-43c62c07c12f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F0C646-A184-48A7-A00E-5044C6FFD9D0}"/>
</file>

<file path=customXml/itemProps2.xml><?xml version="1.0" encoding="utf-8"?>
<ds:datastoreItem xmlns:ds="http://schemas.openxmlformats.org/officeDocument/2006/customXml" ds:itemID="{E214119E-1A47-4660-B634-73A65A053BAA}"/>
</file>

<file path=customXml/itemProps3.xml><?xml version="1.0" encoding="utf-8"?>
<ds:datastoreItem xmlns:ds="http://schemas.openxmlformats.org/officeDocument/2006/customXml" ds:itemID="{07E0C79D-0628-4FB6-A5B5-B9801E2C7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Services</vt:lpstr>
      <vt:lpstr>Parameters</vt:lpstr>
      <vt:lpstr>Messages</vt:lpstr>
      <vt:lpstr>Vehicles</vt:lpstr>
      <vt:lpstr>OBD2_Parameters</vt:lpstr>
      <vt:lpstr>obd2-pid-table-service-01</vt:lpstr>
      <vt:lpstr>obd2-pid-table-service-01-org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mahmudk</dc:creator>
  <cp:lastModifiedBy>mahmudk</cp:lastModifiedBy>
  <dcterms:created xsi:type="dcterms:W3CDTF">2023-03-19T18:35:38Z</dcterms:created>
  <dcterms:modified xsi:type="dcterms:W3CDTF">2023-04-08T13:59:27Z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0x0101006F97C022B717B146BA0446DF4C6D9077</vt:lpwstr>
  </property>
</Properties>
</file>